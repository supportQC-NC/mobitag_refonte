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Lisez-moi" sheetId="1" state="visible" r:id="rId1"/>
    <sheet xmlns:r="http://schemas.openxmlformats.org/officeDocument/2006/relationships" name="1_Hypotheses" sheetId="2" state="visible" r:id="rId2"/>
    <sheet xmlns:r="http://schemas.openxmlformats.org/officeDocument/2006/relationships" name="2_Couts_evites" sheetId="3" state="visible" r:id="rId3"/>
    <sheet xmlns:r="http://schemas.openxmlformats.org/officeDocument/2006/relationships" name="3_Unit_economics" sheetId="4" state="visible" r:id="rId4"/>
    <sheet xmlns:r="http://schemas.openxmlformats.org/officeDocument/2006/relationships" name="4_PL_Prudent" sheetId="5" state="visible" r:id="rId5"/>
    <sheet xmlns:r="http://schemas.openxmlformats.org/officeDocument/2006/relationships" name="5_PL_Central" sheetId="6" state="visible" r:id="rId6"/>
    <sheet xmlns:r="http://schemas.openxmlformats.org/officeDocument/2006/relationships" name="6_PL_Ambitieux" sheetId="7" state="visible" r:id="rId7"/>
    <sheet xmlns:r="http://schemas.openxmlformats.org/officeDocument/2006/relationships" name="7_Synthese" sheetId="8" state="visible" r:id="rId8"/>
    <sheet xmlns:r="http://schemas.openxmlformats.org/officeDocument/2006/relationships" name="8_Sensibilite" sheetId="9" state="visible" r:id="rId9"/>
    <sheet xmlns:r="http://schemas.openxmlformats.org/officeDocument/2006/relationships" name="9_Partage_valeur"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 &quot;F&quot;"/>
  </numFmts>
  <fonts count="8">
    <font>
      <name val="Calibri"/>
      <family val="2"/>
      <color theme="1"/>
      <sz val="11"/>
      <scheme val="minor"/>
    </font>
    <font>
      <name val="Calibri"/>
      <b val="1"/>
      <color rgb="000B2B46"/>
      <sz val="16"/>
    </font>
    <font>
      <name val="Calibri"/>
      <b val="1"/>
      <color rgb="001F6FB2"/>
      <sz val="11"/>
    </font>
    <font>
      <name val="Calibri"/>
      <i val="1"/>
      <color rgb="00666666"/>
      <sz val="8"/>
    </font>
    <font>
      <name val="Calibri"/>
      <b val="1"/>
      <color rgb="000B2B46"/>
      <sz val="10"/>
    </font>
    <font>
      <name val="Calibri"/>
      <b val="1"/>
      <sz val="10"/>
    </font>
    <font>
      <name val="Calibri"/>
      <sz val="10"/>
    </font>
    <font>
      <name val="Calibri"/>
      <b val="1"/>
      <color rgb="00FFFFFF"/>
      <sz val="10"/>
    </font>
  </fonts>
  <fills count="9">
    <fill>
      <patternFill/>
    </fill>
    <fill>
      <patternFill patternType="gray125"/>
    </fill>
    <fill>
      <patternFill patternType="solid">
        <fgColor rgb="00DCE9F5"/>
      </patternFill>
    </fill>
    <fill>
      <patternFill patternType="solid">
        <fgColor rgb="000B2B46"/>
      </patternFill>
    </fill>
    <fill>
      <patternFill patternType="solid">
        <fgColor rgb="00FFF6D6"/>
      </patternFill>
    </fill>
    <fill>
      <patternFill patternType="solid">
        <fgColor rgb="00FBEEDB"/>
      </patternFill>
    </fill>
    <fill>
      <patternFill patternType="solid">
        <fgColor rgb="00DDF0E5"/>
      </patternFill>
    </fill>
    <fill>
      <patternFill patternType="solid">
        <fgColor rgb="00F2F4F7"/>
      </patternFill>
    </fill>
    <fill>
      <patternFill patternType="solid">
        <fgColor rgb="00F6D5D5"/>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6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0" fillId="2" borderId="1"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1" applyAlignment="1" pivotButton="0" quotePrefix="0" xfId="0">
      <alignment horizontal="center" vertical="center" wrapText="1"/>
    </xf>
    <xf numFmtId="0" fontId="6" fillId="0" borderId="0" applyAlignment="1" pivotButton="0" quotePrefix="0" xfId="0">
      <alignment vertical="center" wrapText="1"/>
    </xf>
    <xf numFmtId="3" fontId="6" fillId="4" borderId="1" applyAlignment="1" pivotButton="0" quotePrefix="0" xfId="0">
      <alignment horizontal="right"/>
    </xf>
    <xf numFmtId="0" fontId="3" fillId="5" borderId="0" applyAlignment="1" pivotButton="0" quotePrefix="0" xfId="0">
      <alignment horizontal="center"/>
    </xf>
    <xf numFmtId="0" fontId="3" fillId="0" borderId="0" applyAlignment="1" pivotButton="0" quotePrefix="0" xfId="0">
      <alignment vertical="center" wrapText="1"/>
    </xf>
    <xf numFmtId="164" fontId="6" fillId="4" borderId="1" applyAlignment="1" pivotButton="0" quotePrefix="0" xfId="0">
      <alignment horizontal="right"/>
    </xf>
    <xf numFmtId="0" fontId="3" fillId="0" borderId="0" applyAlignment="1" pivotButton="0" quotePrefix="0" xfId="0">
      <alignment horizontal="center"/>
    </xf>
    <xf numFmtId="165" fontId="6" fillId="4" borderId="1" applyAlignment="1" pivotButton="0" quotePrefix="0" xfId="0">
      <alignment horizontal="right"/>
    </xf>
    <xf numFmtId="10" fontId="6" fillId="4" borderId="1" applyAlignment="1" pivotButton="0" quotePrefix="0" xfId="0">
      <alignment horizontal="right"/>
    </xf>
    <xf numFmtId="166" fontId="6" fillId="4" borderId="1" applyAlignment="1" pivotButton="0" quotePrefix="0" xfId="0">
      <alignment horizontal="right"/>
    </xf>
    <xf numFmtId="0" fontId="3" fillId="6" borderId="0" applyAlignment="1" pivotButton="0" quotePrefix="0" xfId="0">
      <alignment horizontal="center"/>
    </xf>
    <xf numFmtId="166" fontId="6" fillId="4" borderId="1" pivotButton="0" quotePrefix="0" xfId="0"/>
    <xf numFmtId="164" fontId="6" fillId="4" borderId="1" pivotButton="0" quotePrefix="0" xfId="0"/>
    <xf numFmtId="0" fontId="4" fillId="7" borderId="1" pivotButton="0" quotePrefix="0" xfId="0"/>
    <xf numFmtId="166" fontId="4" fillId="7" borderId="1" pivotButton="0" quotePrefix="0" xfId="0"/>
    <xf numFmtId="0" fontId="0" fillId="7" borderId="1" pivotButton="0" quotePrefix="0" xfId="0"/>
    <xf numFmtId="0" fontId="4" fillId="6" borderId="1" pivotButton="0" quotePrefix="0" xfId="0"/>
    <xf numFmtId="0" fontId="0" fillId="6" borderId="1" pivotButton="0" quotePrefix="0" xfId="0"/>
    <xf numFmtId="166" fontId="4" fillId="6" borderId="1" pivotButton="0" quotePrefix="0" xfId="0"/>
    <xf numFmtId="0" fontId="5" fillId="0" borderId="0" pivotButton="0" quotePrefix="0" xfId="0"/>
    <xf numFmtId="166" fontId="5" fillId="0" borderId="0" pivotButton="0" quotePrefix="0" xfId="0"/>
    <xf numFmtId="0" fontId="6" fillId="0" borderId="0" pivotButton="0" quotePrefix="0" xfId="0"/>
    <xf numFmtId="164" fontId="6" fillId="0" borderId="0" pivotButton="0" quotePrefix="0" xfId="0"/>
    <xf numFmtId="0" fontId="7" fillId="3" borderId="1" applyAlignment="1" pivotButton="0" quotePrefix="0" xfId="0">
      <alignment horizontal="center" wrapText="1"/>
    </xf>
    <xf numFmtId="165" fontId="6" fillId="0" borderId="1" pivotButton="0" quotePrefix="0" xfId="0"/>
    <xf numFmtId="0" fontId="5" fillId="0" borderId="0" applyAlignment="1" pivotButton="0" quotePrefix="0" xfId="0">
      <alignment vertical="center" wrapText="1"/>
    </xf>
    <xf numFmtId="166" fontId="4" fillId="0" borderId="1" pivotButton="0" quotePrefix="0" xfId="0"/>
    <xf numFmtId="166" fontId="6" fillId="0" borderId="1" pivotButton="0" quotePrefix="0" xfId="0"/>
    <xf numFmtId="165" fontId="4" fillId="0" borderId="1" pivotButton="0" quotePrefix="0" xfId="0"/>
    <xf numFmtId="164" fontId="4" fillId="0" borderId="1" pivotButton="0" quotePrefix="0" xfId="0"/>
    <xf numFmtId="164" fontId="6" fillId="0" borderId="1" pivotButton="0" quotePrefix="0" xfId="0"/>
    <xf numFmtId="0" fontId="7" fillId="3" borderId="1" pivotButton="0" quotePrefix="0" xfId="0"/>
    <xf numFmtId="0" fontId="7" fillId="3" borderId="1" applyAlignment="1" pivotButton="0" quotePrefix="0" xfId="0">
      <alignment horizontal="center"/>
    </xf>
    <xf numFmtId="0" fontId="6" fillId="0" borderId="0" applyAlignment="1" pivotButton="0" quotePrefix="0" xfId="0">
      <alignment vertical="center"/>
    </xf>
    <xf numFmtId="3" fontId="4" fillId="7" borderId="1" pivotButton="0" quotePrefix="0" xfId="0"/>
    <xf numFmtId="3" fontId="6" fillId="0" borderId="1" pivotButton="0" quotePrefix="0" xfId="0"/>
    <xf numFmtId="165" fontId="4" fillId="7" borderId="1" pivotButton="0" quotePrefix="0" xfId="0"/>
    <xf numFmtId="0" fontId="4" fillId="7" borderId="0" applyAlignment="1" pivotButton="0" quotePrefix="0" xfId="0">
      <alignment vertical="center"/>
    </xf>
    <xf numFmtId="164" fontId="4" fillId="7" borderId="1" pivotButton="0" quotePrefix="0" xfId="0"/>
    <xf numFmtId="166" fontId="4" fillId="5" borderId="1" pivotButton="0" quotePrefix="0" xfId="0"/>
    <xf numFmtId="166" fontId="6" fillId="5" borderId="1" pivotButton="0" quotePrefix="0" xfId="0"/>
    <xf numFmtId="166" fontId="3" fillId="0" borderId="0" pivotButton="0" quotePrefix="0" xfId="0"/>
    <xf numFmtId="0" fontId="4" fillId="0" borderId="0" pivotButton="0" quotePrefix="0" xfId="0"/>
    <xf numFmtId="1" fontId="4" fillId="0" borderId="1" pivotButton="0" quotePrefix="0" xfId="0"/>
    <xf numFmtId="0" fontId="6" fillId="0" borderId="1" applyAlignment="1" pivotButton="0" quotePrefix="0" xfId="0">
      <alignment horizontal="center"/>
    </xf>
    <xf numFmtId="0" fontId="5" fillId="8" borderId="1" applyAlignment="1" pivotButton="0" quotePrefix="0" xfId="0">
      <alignment horizontal="center"/>
    </xf>
    <xf numFmtId="0" fontId="5" fillId="5"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1" fontId="6" fillId="0" borderId="1" pivotButton="0" quotePrefix="0" xfId="0"/>
    <xf numFmtId="0" fontId="5"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Equilibre économique cumulé sur 24 mois (XPF)</a:t>
            </a:r>
          </a:p>
        </rich>
      </tx>
    </title>
    <plotArea>
      <lineChart>
        <grouping val="standard"/>
        <ser>
          <idx val="0"/>
          <order val="0"/>
          <tx>
            <strRef>
              <f>'7_Synthese'!B28</f>
            </strRef>
          </tx>
          <spPr>
            <a:ln xmlns:a="http://schemas.openxmlformats.org/drawingml/2006/main">
              <a:prstDash val="solid"/>
            </a:ln>
          </spPr>
          <marker>
            <symbol val="none"/>
            <spPr>
              <a:ln xmlns:a="http://schemas.openxmlformats.org/drawingml/2006/main">
                <a:prstDash val="solid"/>
              </a:ln>
            </spPr>
          </marker>
          <cat>
            <numRef>
              <f>'7_Synthese'!$A$29:$A$52</f>
            </numRef>
          </cat>
          <val>
            <numRef>
              <f>'7_Synthese'!$B$29:$B$52</f>
            </numRef>
          </val>
        </ser>
        <ser>
          <idx val="1"/>
          <order val="1"/>
          <tx>
            <strRef>
              <f>'7_Synthese'!C28</f>
            </strRef>
          </tx>
          <spPr>
            <a:ln xmlns:a="http://schemas.openxmlformats.org/drawingml/2006/main">
              <a:prstDash val="solid"/>
            </a:ln>
          </spPr>
          <marker>
            <symbol val="none"/>
            <spPr>
              <a:ln xmlns:a="http://schemas.openxmlformats.org/drawingml/2006/main">
                <a:prstDash val="solid"/>
              </a:ln>
            </spPr>
          </marker>
          <cat>
            <numRef>
              <f>'7_Synthese'!$A$29:$A$52</f>
            </numRef>
          </cat>
          <val>
            <numRef>
              <f>'7_Synthese'!$C$29:$C$52</f>
            </numRef>
          </val>
        </ser>
        <ser>
          <idx val="2"/>
          <order val="2"/>
          <tx>
            <strRef>
              <f>'7_Synthese'!D28</f>
            </strRef>
          </tx>
          <spPr>
            <a:ln xmlns:a="http://schemas.openxmlformats.org/drawingml/2006/main">
              <a:prstDash val="solid"/>
            </a:ln>
          </spPr>
          <marker>
            <symbol val="none"/>
            <spPr>
              <a:ln xmlns:a="http://schemas.openxmlformats.org/drawingml/2006/main">
                <a:prstDash val="solid"/>
              </a:ln>
            </spPr>
          </marker>
          <cat>
            <numRef>
              <f>'7_Synthese'!$A$29:$A$52</f>
            </numRef>
          </cat>
          <val>
            <numRef>
              <f>'7_Synthese'!$D$29:$D$52</f>
            </numRef>
          </val>
        </ser>
        <axId val="10"/>
        <axId val="100"/>
      </lineChart>
      <catAx>
        <axId val="10"/>
        <scaling>
          <orientation val="minMax"/>
        </scaling>
        <axPos val="l"/>
        <title>
          <tx>
            <rich>
              <a:bodyPr xmlns:a="http://schemas.openxmlformats.org/drawingml/2006/main"/>
              <a:p xmlns:a="http://schemas.openxmlformats.org/drawingml/2006/main">
                <a:pPr>
                  <a:defRPr/>
                </a:pPr>
                <a:r>
                  <a:t>Mois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XPF cumulés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Structure de l'équilibre 24 mois - scénario central (XPF)</a:t>
            </a:r>
          </a:p>
        </rich>
      </tx>
    </title>
    <plotArea>
      <barChart>
        <barDir val="col"/>
        <grouping val="clustered"/>
        <ser>
          <idx val="0"/>
          <order val="0"/>
          <tx>
            <strRef>
              <f>'7_Synthese'!B55</f>
            </strRef>
          </tx>
          <spPr>
            <a:ln xmlns:a="http://schemas.openxmlformats.org/drawingml/2006/main">
              <a:prstDash val="solid"/>
            </a:ln>
          </spPr>
          <cat>
            <numRef>
              <f>'7_Synthese'!$A$56:$A$60</f>
            </numRef>
          </cat>
          <val>
            <numRef>
              <f>'7_Synthese'!$B$56:$B$60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XPF cumulés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3</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23</row>
      <rowOff>0</rowOff>
    </from>
    <ext cx="79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C41"/>
  <sheetViews>
    <sheetView showGridLines="0" workbookViewId="0">
      <selection activeCell="A1" sqref="A1"/>
    </sheetView>
  </sheetViews>
  <sheetFormatPr baseColWidth="8" defaultRowHeight="15"/>
  <cols>
    <col width="2" customWidth="1" min="1" max="1"/>
    <col width="36" customWidth="1" min="2" max="2"/>
    <col width="98" customWidth="1" min="3" max="3"/>
  </cols>
  <sheetData>
    <row r="2">
      <c r="B2" s="1" t="inlineStr">
        <is>
          <t>CHALLENGE MOBITAG 2026 - MODELE FINANCIER 24 MOIS</t>
        </is>
      </c>
    </row>
    <row r="3">
      <c r="B3" s="2" t="inlineStr">
        <is>
          <t>Candidat : [RAISON SOCIALE]  -  Proposition « Mobitag Nouvelle Génération »</t>
        </is>
      </c>
    </row>
    <row r="4">
      <c r="B4" s="3" t="inlineStr">
        <is>
          <t>Montants en francs CFP (XPF), hors taxes. Parité de référence : 1 EUR = 119,3317 XPF (parité fixe).</t>
        </is>
      </c>
    </row>
    <row r="6">
      <c r="B6" s="4" t="inlineStr">
        <is>
          <t>OBJET</t>
        </is>
      </c>
      <c r="C6" s="5" t="n"/>
    </row>
    <row r="7" ht="40.5" customHeight="1">
      <c r="B7" s="6" t="inlineStr"/>
      <c r="C7" s="7" t="inlineStr">
        <is>
          <t>Réponse à la section 6 du dossier candidats : projection 24 mois en F CFP distinguant chiffre d'affaires, coûts variables, coûts fixes, investissements, économies générées, fiscalité, reversements, résultat économique et besoin de financement, en trois scénarios.</t>
        </is>
      </c>
    </row>
    <row r="8" ht="6" customHeight="1">
      <c r="B8" s="6" t="inlineStr"/>
      <c r="C8" s="7" t="inlineStr"/>
    </row>
    <row r="9">
      <c r="B9" s="4" t="inlineStr">
        <is>
          <t>PERIMETRE DU COMPTE DE RESULTAT</t>
        </is>
      </c>
      <c r="C9" s="5" t="n"/>
    </row>
    <row r="10" ht="54" customHeight="1">
      <c r="B10" s="6" t="inlineStr"/>
      <c r="C10" s="7" t="inlineStr">
        <is>
          <t>Le P&amp;L modélisé est celui du SERVICE Mobitag Nouvelle Génération dans son ensemble, en vue OPT-NC. Ce choix est imposé par la formule d'équilibre du dossier, qui intègre les coûts évités : ces coûts sont ceux de l'OPT-NC. La répartition de la valeur entre l'OPT-NC, le candidat et les partenaires fait l'objet de l'onglet 9.</t>
        </is>
      </c>
    </row>
    <row r="11" ht="6" customHeight="1">
      <c r="B11" s="6" t="inlineStr"/>
      <c r="C11" s="7" t="inlineStr"/>
    </row>
    <row r="12">
      <c r="B12" s="4" t="inlineStr">
        <is>
          <t>PRINCIPE DIRECTEUR : AUCUNE REDONDANCE AVEC LE CATALOGUE HELIA</t>
        </is>
      </c>
      <c r="C12" s="5" t="n"/>
    </row>
    <row r="13" ht="54" customHeight="1">
      <c r="B13" s="6" t="inlineStr"/>
      <c r="C13" s="7" t="inlineStr">
        <is>
          <t>Le SMS est déjà illimité pour la quasi-totalité des clients Helia : les quatre Forfaits M (2 Go à 100 Go, 1 000 à 10 000 F TTC/mois) incluent tous les SMS illimités, les Recharges Packagées également, et une option Pack SMS existe dès 318 F TTC. Toute monetisation fondée sur la vente de volume, de quota, de crédit ou de palier d'envoi au particulier serait donc redondante par construction.</t>
        </is>
      </c>
    </row>
    <row r="14" ht="40.5" customHeight="1">
      <c r="B14" s="6" t="inlineStr"/>
      <c r="C14" s="7" t="inlineStr">
        <is>
          <t>AUCUNE ligne de ce modèle ne repose sur la vente de SMS au particulier. Le socle d'envoi reste gratuit, sans plafond payant et sans option d'extension de volume. Voir la cartographie de non-redondance dans la note de candidature.</t>
        </is>
      </c>
    </row>
    <row r="15" ht="6" customHeight="1">
      <c r="B15" s="6" t="inlineStr"/>
      <c r="C15" s="7" t="inlineStr"/>
    </row>
    <row r="16">
      <c r="B16" s="4" t="inlineStr">
        <is>
          <t>LES CINQ SOURCES DE SOUTENABILITE RETENUES</t>
        </is>
      </c>
      <c r="C16" s="5" t="n"/>
    </row>
    <row r="17" ht="40.5" customHeight="1">
      <c r="B17" s="6" t="inlineStr">
        <is>
          <t>1. TCO legacy évité  (pilier)</t>
        </is>
      </c>
      <c r="C17" s="7" t="inlineStr">
        <is>
          <t>Arrêt du socle technique historique et de sa TMA. Contributeur principal à l'équilibre : démontrable, immédiat, et sans aucun risque de cannibalisation puisqu'il s'agit de charges internes et non d'une offre. Détail poste par poste dans l'onglet 2.</t>
        </is>
      </c>
    </row>
    <row r="18" ht="40.5" customHeight="1">
      <c r="B18" s="6" t="inlineStr">
        <is>
          <t>2. Coûts d'abus évités</t>
        </is>
      </c>
      <c r="C18" s="7" t="inlineStr">
        <is>
          <t>Le dispositif de confiance sur le canal 1000 (vérification d'origine, signalement en un clic, maîtrise par le destinataire) réduit mécaniquement le traitement manuel des réclamations et des abus côté OPT-NC. Ce poste porte son propre taux d'évitement dans l'onglet 2.</t>
        </is>
      </c>
    </row>
    <row r="19" ht="40.5" customHeight="1">
      <c r="B19" s="6" t="inlineStr">
        <is>
          <t>3. Apport d'affaires B2B vers Helia PRO</t>
        </is>
      </c>
      <c r="C19" s="7" t="inlineStr">
        <is>
          <t>Mise en œuvre monetisée de l'exigence F10 : les usages professionnels détectés sont orientés vers Helia PRO. Anti-cannibalisation par construction, puisque le service alimente l'offre professionnelle au lieu de la doubler. Valorisé en marge attribuée, avec un taux d'attribution volontairement prudent.</t>
        </is>
      </c>
    </row>
    <row r="20" ht="54" customHeight="1">
      <c r="B20" s="6" t="inlineStr">
        <is>
          <t>4. Apport d'affaires B2C - activation de lignes</t>
        </is>
      </c>
      <c r="C20" s="7" t="inlineStr">
        <is>
          <t>Mobitag est le seul point de contact de l'OPT-NC avec les personnes sans ligne active : téléphone perdu, volé, cassé, hors forfait, poste partagé d'une mairie ou d'une médiathèque. Cette audience est structurellement inaccessible au reste du catalogue Helia. Orientation clairement identifiée, jamais dissimulée, jamais insérée dans un message personnel.</t>
        </is>
      </c>
    </row>
    <row r="21" ht="40.5" customHeight="1">
      <c r="B21" s="6" t="inlineStr">
        <is>
          <t>5. Sponsoring consenti</t>
        </is>
      </c>
      <c r="C21" s="7" t="inlineStr">
        <is>
          <t>Partenariat identifié et accepté par l'utilisateur, hors du contenu des messages. Non redondant : l'OPT-NC ne commercialise pas d'espace publicitaire. Inventaire étroit, donc volontairement NUL en scénario prudent : le modèle ne dépend jamais de cette ligne.</t>
        </is>
      </c>
    </row>
    <row r="22" ht="6" customHeight="1">
      <c r="B22" s="6" t="inlineStr"/>
      <c r="C22" s="7" t="inlineStr"/>
    </row>
    <row r="23">
      <c r="B23" s="4" t="inlineStr">
        <is>
          <t>FORMULES IMPOSEES PAR LE DOSSIER (section 6)</t>
        </is>
      </c>
      <c r="C23" s="5" t="n"/>
    </row>
    <row r="24" ht="13.5" customHeight="1">
      <c r="B24" s="6" t="inlineStr">
        <is>
          <t>Marge contributive</t>
        </is>
      </c>
      <c r="C24" s="7">
        <f> chiffre d'affaires − coûts variables − reversements éventuels</f>
        <v/>
      </c>
    </row>
    <row r="25" ht="13.5" customHeight="1">
      <c r="B25" s="6" t="inlineStr">
        <is>
          <t>Equilibre économique 24 mois</t>
        </is>
      </c>
      <c r="C25" s="7">
        <f> marge contributive + coûts évités − coûts fixes − investissements − fiscalité applicable</f>
        <v/>
      </c>
    </row>
    <row r="26" ht="27" customHeight="1">
      <c r="B26" s="6" t="inlineStr"/>
      <c r="C26" s="7" t="inlineStr">
        <is>
          <t>Ces deux formules sont appliquées littéralement dans les onglets 4 à 6, aux lignes « Marge contributive » et « Equilibre économique cumulé ».</t>
        </is>
      </c>
    </row>
    <row r="27" ht="6" customHeight="1">
      <c r="B27" s="6" t="inlineStr"/>
      <c r="C27" s="7" t="inlineStr"/>
    </row>
    <row r="28">
      <c r="B28" s="4" t="inlineStr">
        <is>
          <t>MODE D'EMPLOI</t>
        </is>
      </c>
      <c r="C28" s="5" t="n"/>
    </row>
    <row r="29" ht="27" customHeight="1">
      <c r="B29" s="6" t="inlineStr"/>
      <c r="C29" s="7" t="inlineStr">
        <is>
          <t>Seules les cellules sur fond JAUNE sont saisissables. Toutes les autres sont calculées. Modifier une hypothèse dans l'onglet 1 met à jour les trois scénarios, le point mort, la synthèse et la sensibilité.</t>
        </is>
      </c>
    </row>
    <row r="30" ht="40.5" customHeight="1">
      <c r="B30" s="6" t="inlineStr"/>
      <c r="C30" s="7" t="inlineStr">
        <is>
          <t>Chaque hypothèse porte une source et un niveau de confiance. Les hypothèses marquées « A VALIDER OPT » sont celles dont la confirmation est demandée à l'OPT-NC : volumétrie réelle du service, coût complet actuel, et part des envois émanant d'utilisateurs sans ligne Helia active.</t>
        </is>
      </c>
    </row>
    <row r="31" ht="6" customHeight="1">
      <c r="B31" s="6" t="inlineStr"/>
      <c r="C31" s="7" t="inlineStr"/>
    </row>
    <row r="32">
      <c r="B32" s="4" t="inlineStr">
        <is>
          <t>SOMMAIRE</t>
        </is>
      </c>
      <c r="C32" s="5" t="n"/>
    </row>
    <row r="33" ht="13.5" customHeight="1">
      <c r="B33" s="6" t="inlineStr">
        <is>
          <t>1_Hypotheses</t>
        </is>
      </c>
      <c r="C33" s="7" t="inlineStr">
        <is>
          <t>Hypothèses paramétrables en trois scénarios, avec source et niveau de confiance.</t>
        </is>
      </c>
    </row>
    <row r="34" ht="13.5" customHeight="1">
      <c r="B34" s="6" t="inlineStr">
        <is>
          <t>2_Couts_evites</t>
        </is>
      </c>
      <c r="C34" s="7" t="inlineStr">
        <is>
          <t>Coût complet annuel actuel du service, poste par poste, et taux d'évitement retenu.</t>
        </is>
      </c>
    </row>
    <row r="35" ht="13.5" customHeight="1">
      <c r="B35" s="6" t="inlineStr">
        <is>
          <t>3_Unit_economics</t>
        </is>
      </c>
      <c r="C35" s="7" t="inlineStr">
        <is>
          <t>Coûts unitaires, coût de revient d'un SMS gratuit, valeur d'un apport, ratios de contrôle.</t>
        </is>
      </c>
    </row>
    <row r="36" ht="13.5" customHeight="1">
      <c r="B36" s="6" t="inlineStr">
        <is>
          <t>4_PL_Prudent</t>
        </is>
      </c>
      <c r="C36" s="7" t="inlineStr">
        <is>
          <t>Compte de résultat mensuel sur 24 mois - scénario prudent.</t>
        </is>
      </c>
    </row>
    <row r="37" ht="13.5" customHeight="1">
      <c r="B37" s="6" t="inlineStr">
        <is>
          <t>5_PL_Central</t>
        </is>
      </c>
      <c r="C37" s="7" t="inlineStr">
        <is>
          <t>Compte de résultat mensuel sur 24 mois - scénario central.</t>
        </is>
      </c>
    </row>
    <row r="38" ht="13.5" customHeight="1">
      <c r="B38" s="6" t="inlineStr">
        <is>
          <t>6_PL_Ambitieux</t>
        </is>
      </c>
      <c r="C38" s="7" t="inlineStr">
        <is>
          <t>Compte de résultat mensuel sur 24 mois - scénario ambitieux.</t>
        </is>
      </c>
    </row>
    <row r="39" ht="13.5" customHeight="1">
      <c r="B39" s="6" t="inlineStr">
        <is>
          <t>7_Synthese</t>
        </is>
      </c>
      <c r="C39" s="7" t="inlineStr">
        <is>
          <t>Comparaison des trois scénarios : point mort, résultat cumulé, besoin de financement, graphiques.</t>
        </is>
      </c>
    </row>
    <row r="40" ht="13.5" customHeight="1">
      <c r="B40" s="6" t="inlineStr">
        <is>
          <t>8_Sensibilite</t>
        </is>
      </c>
      <c r="C40" s="7" t="inlineStr">
        <is>
          <t>Sensibilité du résultat 24 mois aux sept variables les plus structurantes.</t>
        </is>
      </c>
    </row>
    <row r="41" ht="13.5" customHeight="1">
      <c r="B41" s="6" t="inlineStr">
        <is>
          <t>9_Partage_valeur</t>
        </is>
      </c>
      <c r="C41" s="7" t="inlineStr">
        <is>
          <t>Répartition de la valeur entre OPT-NC, candidat et partenaires, par phase.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2" customWidth="1" min="1" max="1"/>
    <col width="9" customWidth="1" min="2" max="2"/>
    <col width="14" customWidth="1" min="3" max="3"/>
    <col width="14" customWidth="1" min="4" max="4"/>
    <col width="14" customWidth="1" min="5" max="5"/>
    <col width="13" customWidth="1" min="6" max="6"/>
    <col width="62" customWidth="1" min="7" max="7"/>
  </cols>
  <sheetData>
    <row r="1">
      <c r="A1" s="1" t="inlineStr">
        <is>
          <t>HYPOTHESES - 3 SCENARIOS</t>
        </is>
      </c>
    </row>
    <row r="2">
      <c r="A2" s="3" t="inlineStr">
        <is>
          <t>Cellules jaunes = saisie. Montants en XPF HT.</t>
        </is>
      </c>
    </row>
    <row r="3">
      <c r="A3" s="3" t="inlineStr">
        <is>
          <t>Aucune hypothèse de vente de volume SMS au particulier : le SMS est déjà illimité dans les Forfaits M et les Recharges Packagées Helia.</t>
        </is>
      </c>
    </row>
    <row r="5" ht="26" customHeight="1">
      <c r="A5" s="8" t="inlineStr">
        <is>
          <t>Hypothèse</t>
        </is>
      </c>
      <c r="B5" s="8" t="inlineStr">
        <is>
          <t>Unité</t>
        </is>
      </c>
      <c r="C5" s="8" t="inlineStr">
        <is>
          <t>Prudent</t>
        </is>
      </c>
      <c r="D5" s="8" t="inlineStr">
        <is>
          <t>Central</t>
        </is>
      </c>
      <c r="E5" s="8" t="inlineStr">
        <is>
          <t>Ambitieux</t>
        </is>
      </c>
      <c r="F5" s="8" t="inlineStr">
        <is>
          <t>Confiance</t>
        </is>
      </c>
      <c r="G5" s="8" t="inlineStr">
        <is>
          <t>Source / justification</t>
        </is>
      </c>
    </row>
    <row r="6">
      <c r="A6" s="4" t="inlineStr">
        <is>
          <t>A. AUDIENCE ET VOLUMETRIE DU SERVICE</t>
        </is>
      </c>
      <c r="B6" s="5" t="n"/>
      <c r="C6" s="5" t="n"/>
      <c r="D6" s="5" t="n"/>
      <c r="E6" s="5" t="n"/>
      <c r="F6" s="5" t="n"/>
      <c r="G6" s="5" t="n"/>
    </row>
    <row r="7">
      <c r="A7" s="9" t="inlineStr">
        <is>
          <t>Utilisateurs actifs mensuels (MAU) au mois 1</t>
        </is>
      </c>
      <c r="B7" s="3" t="inlineStr">
        <is>
          <t>pers.</t>
        </is>
      </c>
      <c r="C7" s="10" t="n">
        <v>5000</v>
      </c>
      <c r="D7" s="10" t="n">
        <v>8000</v>
      </c>
      <c r="E7" s="10" t="n">
        <v>12000</v>
      </c>
      <c r="F7" s="11" t="inlineStr">
        <is>
          <t>A VALIDER OPT</t>
        </is>
      </c>
      <c r="G7" s="12" t="inlineStr">
        <is>
          <t>Volumétrie actuelle du service non publiée. Fourchette déduite de la population de Nouvelle-Calédonie (~268 000 hab.) et du parc mobile Mobilis/Liberté. Question posée à l'OPT-NC.</t>
        </is>
      </c>
    </row>
    <row r="8">
      <c r="A8" s="9" t="inlineStr">
        <is>
          <t>Croissance mensuelle des MAU après refonte</t>
        </is>
      </c>
      <c r="B8" s="3" t="inlineStr">
        <is>
          <t>%/mois</t>
        </is>
      </c>
      <c r="C8" s="13" t="n">
        <v>0.015</v>
      </c>
      <c r="D8" s="13" t="n">
        <v>0.025</v>
      </c>
      <c r="E8" s="13" t="n">
        <v>0.035</v>
      </c>
      <c r="F8" s="14" t="inlineStr">
        <is>
          <t>Moyenne</t>
        </is>
      </c>
      <c r="G8" s="12" t="inlineStr">
        <is>
          <t>Effet refonte UX + accessibilité mobile et bas débit (F02, F08). Prudent = simple maintien de la tendance, ambitieux = relance par la notoriété du canal 1000.</t>
        </is>
      </c>
    </row>
    <row r="9">
      <c r="A9" s="9" t="inlineStr">
        <is>
          <t>Plafond de saturation des MAU</t>
        </is>
      </c>
      <c r="B9" s="3" t="inlineStr">
        <is>
          <t>pers.</t>
        </is>
      </c>
      <c r="C9" s="10" t="n">
        <v>10000</v>
      </c>
      <c r="D9" s="10" t="n">
        <v>18000</v>
      </c>
      <c r="E9" s="10" t="n">
        <v>22000</v>
      </c>
      <c r="F9" s="14" t="inlineStr">
        <is>
          <t>Moyenne</t>
        </is>
      </c>
      <c r="G9" s="12" t="inlineStr">
        <is>
          <t>Borne haute réaliste au regard de la taille du marché calédonien. Empêche toute projection de croissance non bornée.</t>
        </is>
      </c>
    </row>
    <row r="10">
      <c r="A10" s="9" t="inlineStr">
        <is>
          <t>SMS gratuits envoyés par MAU et par mois</t>
        </is>
      </c>
      <c r="B10" s="3" t="inlineStr">
        <is>
          <t>SMS</t>
        </is>
      </c>
      <c r="C10" s="15" t="n">
        <v>3</v>
      </c>
      <c r="D10" s="15" t="n">
        <v>3.5</v>
      </c>
      <c r="E10" s="15" t="n">
        <v>4</v>
      </c>
      <c r="F10" s="11" t="inlineStr">
        <is>
          <t>A VALIDER OPT</t>
        </is>
      </c>
      <c r="G10" s="12" t="inlineStr">
        <is>
          <t>Usage occasionnel par nature. Sert au calcul du coût d'acheminement, jamais à une facturation.</t>
        </is>
      </c>
    </row>
    <row r="11">
      <c r="A11" s="4" t="inlineStr">
        <is>
          <t>B. APPORT D'AFFAIRES B2B VERS HELIA PRO  (exigence F10 monetisée)</t>
        </is>
      </c>
      <c r="B11" s="5" t="n"/>
      <c r="C11" s="5" t="n"/>
      <c r="D11" s="5" t="n"/>
      <c r="E11" s="5" t="n"/>
      <c r="F11" s="5" t="n"/>
      <c r="G11" s="5" t="n"/>
    </row>
    <row r="12">
      <c r="A12" s="9" t="inlineStr">
        <is>
          <t>Part des MAU détectés en usage professionnel</t>
        </is>
      </c>
      <c r="B12" s="3" t="inlineStr">
        <is>
          <t>%/mois</t>
        </is>
      </c>
      <c r="C12" s="16" t="n">
        <v>0.004</v>
      </c>
      <c r="D12" s="16" t="n">
        <v>0.007</v>
      </c>
      <c r="E12" s="16" t="n">
        <v>0.01</v>
      </c>
      <c r="F12" s="14" t="inlineStr">
        <is>
          <t>Moyenne</t>
        </is>
      </c>
      <c r="G12" s="12" t="inlineStr">
        <is>
          <t>Détection par faisceau d'indices (récurrence, signature commerciale, gabarit de message). Le dossier impose déjà cette distinction en F10.</t>
        </is>
      </c>
    </row>
    <row r="13">
      <c r="A13" s="9" t="inlineStr">
        <is>
          <t>Taux de prise de contact vers Helia PRO</t>
        </is>
      </c>
      <c r="B13" s="3" t="inlineStr">
        <is>
          <t>%</t>
        </is>
      </c>
      <c r="C13" s="13" t="n">
        <v>0.25</v>
      </c>
      <c r="D13" s="13" t="n">
        <v>0.35</v>
      </c>
      <c r="E13" s="13" t="n">
        <v>0.45</v>
      </c>
      <c r="F13" s="14" t="inlineStr">
        <is>
          <t>Moyenne</t>
        </is>
      </c>
      <c r="G13" s="12" t="inlineStr">
        <is>
          <t>Orientation contextuelle au moment précis du besoin non satisfait : taux supérieur à une sollicitation publicitaire classique.</t>
        </is>
      </c>
    </row>
    <row r="14">
      <c r="A14" s="9" t="inlineStr">
        <is>
          <t>Taux de conversion en client Helia PRO</t>
        </is>
      </c>
      <c r="B14" s="3" t="inlineStr">
        <is>
          <t>%</t>
        </is>
      </c>
      <c r="C14" s="13" t="n">
        <v>0.04</v>
      </c>
      <c r="D14" s="13" t="n">
        <v>0.06</v>
      </c>
      <c r="E14" s="13" t="n">
        <v>0.09</v>
      </c>
      <c r="F14" s="11" t="inlineStr">
        <is>
          <t>A VALIDER OPT</t>
        </is>
      </c>
      <c r="G14" s="12" t="inlineStr">
        <is>
          <t>Taux de transformation d'un lead entrant qualifié. A confronter au tunnel commercial réel d'Helia PRO.</t>
        </is>
      </c>
    </row>
    <row r="15">
      <c r="A15" s="9" t="inlineStr">
        <is>
          <t>Marge annuelle moyenne d'un client Helia PRO</t>
        </is>
      </c>
      <c r="B15" s="3" t="inlineStr">
        <is>
          <t>XPF/an</t>
        </is>
      </c>
      <c r="C15" s="17" t="n">
        <v>90000</v>
      </c>
      <c r="D15" s="17" t="n">
        <v>130000</v>
      </c>
      <c r="E15" s="17" t="n">
        <v>190000</v>
      </c>
      <c r="F15" s="11" t="inlineStr">
        <is>
          <t>A VALIDER OPT</t>
        </is>
      </c>
      <c r="G15" s="12" t="inlineStr">
        <is>
          <t>MARGE et non chiffre d'affaires. Ordre de grandeur déduit du positionnement de la plateforme d'envoi en masse (60 000 F HT/mois, 10 000 SMS inclus) et des petits comptes.</t>
        </is>
      </c>
    </row>
    <row r="16">
      <c r="A16" s="9" t="inlineStr">
        <is>
          <t>Taux d'attribution de la marge à Mobitag NG</t>
        </is>
      </c>
      <c r="B16" s="3" t="inlineStr">
        <is>
          <t>%</t>
        </is>
      </c>
      <c r="C16" s="13" t="n">
        <v>0.3</v>
      </c>
      <c r="D16" s="13" t="n">
        <v>0.4</v>
      </c>
      <c r="E16" s="13" t="n">
        <v>0.45</v>
      </c>
      <c r="F16" s="14" t="inlineStr">
        <is>
          <t>Moyenne</t>
        </is>
      </c>
      <c r="G16" s="12" t="inlineStr">
        <is>
          <t>Attribution volontairement partielle : l'effort commercial Helia PRO conserve la part majoritaire ou paritaire de la valeur. Evite toute surestimation.</t>
        </is>
      </c>
    </row>
    <row r="17">
      <c r="A17" s="9" t="inlineStr">
        <is>
          <t>Attrition mensuelle des comptes PRO apportés</t>
        </is>
      </c>
      <c r="B17" s="3" t="inlineStr">
        <is>
          <t>%/mois</t>
        </is>
      </c>
      <c r="C17" s="16" t="n">
        <v>0.02</v>
      </c>
      <c r="D17" s="16" t="n">
        <v>0.013</v>
      </c>
      <c r="E17" s="16" t="n">
        <v>0.008999999999999999</v>
      </c>
      <c r="F17" s="14" t="inlineStr">
        <is>
          <t>Moyenne</t>
        </is>
      </c>
      <c r="G17" s="12" t="inlineStr">
        <is>
          <t>Equivaut à une rétention annuelle de 78 % / 85 % / 90 %.</t>
        </is>
      </c>
    </row>
    <row r="18">
      <c r="A18" s="9" t="inlineStr">
        <is>
          <t>Mois de démarrage de l'orientation PRO</t>
        </is>
      </c>
      <c r="B18" s="3" t="inlineStr">
        <is>
          <t>mois</t>
        </is>
      </c>
      <c r="C18" s="10" t="n">
        <v>10</v>
      </c>
      <c r="D18" s="10" t="n">
        <v>8</v>
      </c>
      <c r="E18" s="10" t="n">
        <v>7</v>
      </c>
      <c r="F18" s="18" t="inlineStr">
        <is>
          <t>Elevée</t>
        </is>
      </c>
      <c r="G18" s="12" t="inlineStr">
        <is>
          <t>Démarrage après bascule du service refondu et mise en place de la convention d'apport.</t>
        </is>
      </c>
    </row>
    <row r="19">
      <c r="A19" s="4" t="inlineStr">
        <is>
          <t>C. APPORT D'AFFAIRES B2C - ACTIVATION DE LIGNES  (audience sans ligne active)</t>
        </is>
      </c>
      <c r="B19" s="5" t="n"/>
      <c r="C19" s="5" t="n"/>
      <c r="D19" s="5" t="n"/>
      <c r="E19" s="5" t="n"/>
      <c r="F19" s="5" t="n"/>
      <c r="G19" s="5" t="n"/>
    </row>
    <row r="20">
      <c r="A20" s="9" t="inlineStr">
        <is>
          <t>Part des MAU sans ligne Helia active ou hors forfait</t>
        </is>
      </c>
      <c r="B20" s="3" t="inlineStr">
        <is>
          <t>%</t>
        </is>
      </c>
      <c r="C20" s="13" t="n">
        <v>0.12</v>
      </c>
      <c r="D20" s="13" t="n">
        <v>0.18</v>
      </c>
      <c r="E20" s="13" t="n">
        <v>0.25</v>
      </c>
      <c r="F20" s="11" t="inlineStr">
        <is>
          <t>A VALIDER OPT</t>
        </is>
      </c>
      <c r="G20" s="12" t="inlineStr">
        <is>
          <t>C'est l'hypothèse la plus structurante du modèle et la question prioritaire posée à l'OPT-NC. Usages visés : mobile perdu, volé, cassé, déchargé, hors forfait, poste partagé (mairie, médiathèque), personne sans mobile.</t>
        </is>
      </c>
    </row>
    <row r="21">
      <c r="A21" s="9" t="inlineStr">
        <is>
          <t>Taux de prise de contact vers une offre Helia identifiée</t>
        </is>
      </c>
      <c r="B21" s="3" t="inlineStr">
        <is>
          <t>%/mois</t>
        </is>
      </c>
      <c r="C21" s="13" t="n">
        <v>0.08</v>
      </c>
      <c r="D21" s="13" t="n">
        <v>0.12</v>
      </c>
      <c r="E21" s="13" t="n">
        <v>0.15</v>
      </c>
      <c r="F21" s="14" t="inlineStr">
        <is>
          <t>Moyenne</t>
        </is>
      </c>
      <c r="G21" s="12" t="inlineStr">
        <is>
          <t>Encart clairement identifié, jamais inséré dans un message personnel, jamais dissimulé. Conforme à la section 15 du dossier.</t>
        </is>
      </c>
    </row>
    <row r="22">
      <c r="A22" s="9" t="inlineStr">
        <is>
          <t>Taux d'activation ou de souscription</t>
        </is>
      </c>
      <c r="B22" s="3" t="inlineStr">
        <is>
          <t>%</t>
        </is>
      </c>
      <c r="C22" s="13" t="n">
        <v>0.04</v>
      </c>
      <c r="D22" s="13" t="n">
        <v>0.06</v>
      </c>
      <c r="E22" s="13" t="n">
        <v>0.07000000000000001</v>
      </c>
      <c r="F22" s="11" t="inlineStr">
        <is>
          <t>A VALIDER OPT</t>
        </is>
      </c>
      <c r="G22" s="12" t="inlineStr">
        <is>
          <t>Population en situation de besoin réel et immédiat de rétablir sa ligne.</t>
        </is>
      </c>
    </row>
    <row r="23">
      <c r="A23" s="9" t="inlineStr">
        <is>
          <t>Marge annuelle moyenne d'une ligne grand public</t>
        </is>
      </c>
      <c r="B23" s="3" t="inlineStr">
        <is>
          <t>XPF/an</t>
        </is>
      </c>
      <c r="C23" s="17" t="n">
        <v>18000</v>
      </c>
      <c r="D23" s="17" t="n">
        <v>26000</v>
      </c>
      <c r="E23" s="17" t="n">
        <v>36000</v>
      </c>
      <c r="F23" s="11" t="inlineStr">
        <is>
          <t>A VALIDER OPT</t>
        </is>
      </c>
      <c r="G23" s="12" t="inlineStr">
        <is>
          <t>MARGE et non chiffre d'affaires. Ordre de grandeur déduit des Forfaits M (1 000 à 10 000 F TTC/mois) et du prépayé, pondéré vers le bas du catalogue.</t>
        </is>
      </c>
    </row>
    <row r="24">
      <c r="A24" s="9" t="inlineStr">
        <is>
          <t>Taux d'attribution de la marge à Mobitag NG</t>
        </is>
      </c>
      <c r="B24" s="3" t="inlineStr">
        <is>
          <t>%</t>
        </is>
      </c>
      <c r="C24" s="13" t="n">
        <v>0.25</v>
      </c>
      <c r="D24" s="13" t="n">
        <v>0.35</v>
      </c>
      <c r="E24" s="13" t="n">
        <v>0.4</v>
      </c>
      <c r="F24" s="14" t="inlineStr">
        <is>
          <t>Moyenne</t>
        </is>
      </c>
      <c r="G24" s="12" t="inlineStr">
        <is>
          <t>Attribution minoritaire : la souscription reste portée par le réseau de distribution Helia.</t>
        </is>
      </c>
    </row>
    <row r="25">
      <c r="A25" s="9" t="inlineStr">
        <is>
          <t>Attrition mensuelle des lignes apportées</t>
        </is>
      </c>
      <c r="B25" s="3" t="inlineStr">
        <is>
          <t>%/mois</t>
        </is>
      </c>
      <c r="C25" s="16" t="n">
        <v>0.024</v>
      </c>
      <c r="D25" s="16" t="n">
        <v>0.018</v>
      </c>
      <c r="E25" s="16" t="n">
        <v>0.013</v>
      </c>
      <c r="F25" s="14" t="inlineStr">
        <is>
          <t>Moyenne</t>
        </is>
      </c>
      <c r="G25" s="12" t="inlineStr">
        <is>
          <t>Equivaut à une rétention annuelle de 75 % / 80 % / 85 %.</t>
        </is>
      </c>
    </row>
    <row r="26">
      <c r="A26" s="9" t="inlineStr">
        <is>
          <t>Mois de démarrage de l'orientation B2C</t>
        </is>
      </c>
      <c r="B26" s="3" t="inlineStr">
        <is>
          <t>mois</t>
        </is>
      </c>
      <c r="C26" s="10" t="n">
        <v>10</v>
      </c>
      <c r="D26" s="10" t="n">
        <v>8</v>
      </c>
      <c r="E26" s="10" t="n">
        <v>7</v>
      </c>
      <c r="F26" s="18" t="inlineStr">
        <is>
          <t>Elevée</t>
        </is>
      </c>
      <c r="G26" s="12" t="inlineStr">
        <is>
          <t>Post-bascule, après validation du parcours par le DPO et la direction marketing.</t>
        </is>
      </c>
    </row>
    <row r="27">
      <c r="A27" s="4" t="inlineStr">
        <is>
          <t>D. SPONSORING CONSENTI  (ligne d'appoint, nulle en scénario prudent)</t>
        </is>
      </c>
      <c r="B27" s="5" t="n"/>
      <c r="C27" s="5" t="n"/>
      <c r="D27" s="5" t="n"/>
      <c r="E27" s="5" t="n"/>
      <c r="F27" s="5" t="n"/>
      <c r="G27" s="5" t="n"/>
    </row>
    <row r="28">
      <c r="A28" s="9" t="inlineStr">
        <is>
          <t>Revenu mensuel en régime établi</t>
        </is>
      </c>
      <c r="B28" s="3" t="inlineStr">
        <is>
          <t>XPF/mois</t>
        </is>
      </c>
      <c r="C28" s="17" t="n">
        <v>0</v>
      </c>
      <c r="D28" s="17" t="n">
        <v>120000</v>
      </c>
      <c r="E28" s="17" t="n">
        <v>280000</v>
      </c>
      <c r="F28" s="14" t="inlineStr">
        <is>
          <t>Moyenne</t>
        </is>
      </c>
      <c r="G28" s="12" t="inlineStr">
        <is>
          <t>Inventaire étroit sur un marché de 268 000 habitants. Nul en prudent : la soutenabilité du modèle ne dépend jamais de cette ligne.</t>
        </is>
      </c>
    </row>
    <row r="29">
      <c r="A29" s="9" t="inlineStr">
        <is>
          <t>Mois de démarrage du sponsoring</t>
        </is>
      </c>
      <c r="B29" s="3" t="inlineStr">
        <is>
          <t>mois</t>
        </is>
      </c>
      <c r="C29" s="10" t="n">
        <v>25</v>
      </c>
      <c r="D29" s="10" t="n">
        <v>14</v>
      </c>
      <c r="E29" s="10" t="n">
        <v>11</v>
      </c>
      <c r="F29" s="14" t="inlineStr">
        <is>
          <t>Moyenne</t>
        </is>
      </c>
      <c r="G29" s="12" t="inlineStr">
        <is>
          <t>25 = jamais activé sur l'horizon en scénario prudent.</t>
        </is>
      </c>
    </row>
    <row r="30">
      <c r="A30" s="9" t="inlineStr">
        <is>
          <t>Durée de montée en charge</t>
        </is>
      </c>
      <c r="B30" s="3" t="inlineStr">
        <is>
          <t>mois</t>
        </is>
      </c>
      <c r="C30" s="10" t="n">
        <v>6</v>
      </c>
      <c r="D30" s="10" t="n">
        <v>6</v>
      </c>
      <c r="E30" s="10" t="n">
        <v>5</v>
      </c>
      <c r="F30" s="14" t="inlineStr">
        <is>
          <t>Moyenne</t>
        </is>
      </c>
      <c r="G30" s="12" t="inlineStr">
        <is>
          <t>Montée linéaire jusqu'au régime établi.</t>
        </is>
      </c>
    </row>
    <row r="31">
      <c r="A31" s="9" t="inlineStr">
        <is>
          <t>Reversement régie / partenaire</t>
        </is>
      </c>
      <c r="B31" s="3" t="inlineStr">
        <is>
          <t>% du CA</t>
        </is>
      </c>
      <c r="C31" s="13" t="n">
        <v>0.15</v>
      </c>
      <c r="D31" s="13" t="n">
        <v>0.15</v>
      </c>
      <c r="E31" s="13" t="n">
        <v>0.15</v>
      </c>
      <c r="F31" s="14" t="inlineStr">
        <is>
          <t>Moyenne</t>
        </is>
      </c>
      <c r="G31" s="12" t="inlineStr">
        <is>
          <t>Commission d'une régie locale. Entre dans les « reversements éventuels » de la formule de marge contributive.</t>
        </is>
      </c>
    </row>
    <row r="32">
      <c r="A32" s="4" t="inlineStr">
        <is>
          <t>E. COUTS VARIABLES</t>
        </is>
      </c>
      <c r="B32" s="5" t="n"/>
      <c r="C32" s="5" t="n"/>
      <c r="D32" s="5" t="n"/>
      <c r="E32" s="5" t="n"/>
      <c r="F32" s="5" t="n"/>
      <c r="G32" s="5" t="n"/>
    </row>
    <row r="33">
      <c r="A33" s="9" t="inlineStr">
        <is>
          <t>Coût interne d'acheminement d'un SMS</t>
        </is>
      </c>
      <c r="B33" s="3" t="inlineStr">
        <is>
          <t>XPF/SMS</t>
        </is>
      </c>
      <c r="C33" s="15" t="n">
        <v>2.5</v>
      </c>
      <c r="D33" s="15" t="n">
        <v>2</v>
      </c>
      <c r="E33" s="15" t="n">
        <v>1.5</v>
      </c>
      <c r="F33" s="11" t="inlineStr">
        <is>
          <t>A VALIDER OPT</t>
        </is>
      </c>
      <c r="G33" s="12" t="inlineStr">
        <is>
          <t>Coût interne réseau, hors tarif commercial. Décroît avec la mutualisation de la passerelle.</t>
        </is>
      </c>
    </row>
    <row r="34">
      <c r="A34" s="9" t="inlineStr">
        <is>
          <t>Coût d'infrastructure variable par MAU</t>
        </is>
      </c>
      <c r="B34" s="3" t="inlineStr">
        <is>
          <t>XPF/mois</t>
        </is>
      </c>
      <c r="C34" s="15" t="n">
        <v>4</v>
      </c>
      <c r="D34" s="15" t="n">
        <v>3</v>
      </c>
      <c r="E34" s="15" t="n">
        <v>2</v>
      </c>
      <c r="F34" s="18" t="inlineStr">
        <is>
          <t>Elevée</t>
        </is>
      </c>
      <c r="G34" s="12" t="inlineStr">
        <is>
          <t>Calculé sur tarifs publics de calcul, stockage et sortie réseau pour une charge conteneurisée sans état.</t>
        </is>
      </c>
    </row>
    <row r="35">
      <c r="A35" s="4" t="inlineStr">
        <is>
          <t>F. COUTS FIXES DU SERVICE NOUVELLE GENERATION</t>
        </is>
      </c>
      <c r="B35" s="5" t="n"/>
      <c r="C35" s="5" t="n"/>
      <c r="D35" s="5" t="n"/>
      <c r="E35" s="5" t="n"/>
      <c r="F35" s="5" t="n"/>
      <c r="G35" s="5" t="n"/>
    </row>
    <row r="36">
      <c r="A36" s="9" t="inlineStr">
        <is>
          <t>Run technique et produit</t>
        </is>
      </c>
      <c r="B36" s="3" t="inlineStr">
        <is>
          <t>ETP</t>
        </is>
      </c>
      <c r="C36" s="15" t="n">
        <v>0.28</v>
      </c>
      <c r="D36" s="15" t="n">
        <v>0.25</v>
      </c>
      <c r="E36" s="15" t="n">
        <v>0.2</v>
      </c>
      <c r="F36" s="14" t="inlineStr">
        <is>
          <t>Moyenne</t>
        </is>
      </c>
      <c r="G36" s="12" t="inlineStr">
        <is>
          <t>Exploitation d'une stack conteneurisée sans état, avec CI/CD, déploiements sans interruption et supervision automatisée. Ce run ne démarre qu'à la bascule : avant, la charge de construction est portée par l'investissement.</t>
        </is>
      </c>
    </row>
    <row r="37">
      <c r="A37" s="9" t="inlineStr">
        <is>
          <t>Coût annuel chargé d'un ETP</t>
        </is>
      </c>
      <c r="B37" s="3" t="inlineStr">
        <is>
          <t>XPF/an</t>
        </is>
      </c>
      <c r="C37" s="17" t="n">
        <v>8500000</v>
      </c>
      <c r="D37" s="17" t="n">
        <v>8000000</v>
      </c>
      <c r="E37" s="17" t="n">
        <v>7500000</v>
      </c>
      <c r="F37" s="18" t="inlineStr">
        <is>
          <t>Elevée</t>
        </is>
      </c>
      <c r="G37" s="12" t="inlineStr">
        <is>
          <t>Coût chargé d'un profil technique confirmé en Nouvelle-Calédonie.</t>
        </is>
      </c>
    </row>
    <row r="38">
      <c r="A38" s="9" t="inlineStr">
        <is>
          <t>Hébergement cloud</t>
        </is>
      </c>
      <c r="B38" s="3" t="inlineStr">
        <is>
          <t>XPF/mois</t>
        </is>
      </c>
      <c r="C38" s="17" t="n">
        <v>70000</v>
      </c>
      <c r="D38" s="17" t="n">
        <v>55000</v>
      </c>
      <c r="E38" s="17" t="n">
        <v>45000</v>
      </c>
      <c r="F38" s="18" t="inlineStr">
        <is>
          <t>Elevée</t>
        </is>
      </c>
      <c r="G38" s="12" t="inlineStr">
        <is>
          <t>Socle conteneurisé, base de données managée, sauvegardes, observabilité, environnements de test.</t>
        </is>
      </c>
    </row>
    <row r="39">
      <c r="A39" s="9" t="inlineStr">
        <is>
          <t>Support et modération résiduels</t>
        </is>
      </c>
      <c r="B39" s="3" t="inlineStr">
        <is>
          <t>XPF/mois</t>
        </is>
      </c>
      <c r="C39" s="17" t="n">
        <v>30000</v>
      </c>
      <c r="D39" s="17" t="n">
        <v>22000</v>
      </c>
      <c r="E39" s="17" t="n">
        <v>16000</v>
      </c>
      <c r="F39" s="14" t="inlineStr">
        <is>
          <t>Moyenne</t>
        </is>
      </c>
      <c r="G39" s="12" t="inlineStr">
        <is>
          <t>Résiduel après automatisation de l'anti-abus et du signalement (F05, F11).</t>
        </is>
      </c>
    </row>
    <row r="40">
      <c r="A40" s="9" t="inlineStr">
        <is>
          <t>Communication et notoriété</t>
        </is>
      </c>
      <c r="B40" s="3" t="inlineStr">
        <is>
          <t>XPF/mois</t>
        </is>
      </c>
      <c r="C40" s="17" t="n">
        <v>25000</v>
      </c>
      <c r="D40" s="17" t="n">
        <v>40000</v>
      </c>
      <c r="E40" s="17" t="n">
        <v>60000</v>
      </c>
      <c r="F40" s="14" t="inlineStr">
        <is>
          <t>Moyenne</t>
        </is>
      </c>
      <c r="G40" s="12" t="inlineStr">
        <is>
          <t>Poste nouveau, absent du service historique. Soutient la croissance des MAU.</t>
        </is>
      </c>
    </row>
    <row r="41">
      <c r="A41" s="9" t="inlineStr">
        <is>
          <t>Environnements de dev, test et pré-production (avant bascule)</t>
        </is>
      </c>
      <c r="B41" s="3" t="inlineStr">
        <is>
          <t>XPF/mois</t>
        </is>
      </c>
      <c r="C41" s="17" t="n">
        <v>20000</v>
      </c>
      <c r="D41" s="17" t="n">
        <v>25000</v>
      </c>
      <c r="E41" s="17" t="n">
        <v>30000</v>
      </c>
      <c r="F41" s="18" t="inlineStr">
        <is>
          <t>Elevée</t>
        </is>
      </c>
      <c r="G41" s="12" t="inlineStr">
        <is>
          <t>Seul coût fixe courant avant la bascule. La charge de construction est portée par l'investissement, jamais par le run : le modèle ne compte pas deux fois la même équipe.</t>
        </is>
      </c>
    </row>
    <row r="42">
      <c r="A42" s="4" t="inlineStr">
        <is>
          <t>G. INVESTISSEMENTS</t>
        </is>
      </c>
      <c r="B42" s="5" t="n"/>
      <c r="C42" s="5" t="n"/>
      <c r="D42" s="5" t="n"/>
      <c r="E42" s="5" t="n"/>
      <c r="F42" s="5" t="n"/>
      <c r="G42" s="5" t="n"/>
    </row>
    <row r="43">
      <c r="A43" s="9" t="inlineStr">
        <is>
          <t>Build, industrialisation et reprise</t>
        </is>
      </c>
      <c r="B43" s="3" t="inlineStr">
        <is>
          <t>XPF</t>
        </is>
      </c>
      <c r="C43" s="17" t="n">
        <v>5500000</v>
      </c>
      <c r="D43" s="17" t="n">
        <v>4800000</v>
      </c>
      <c r="E43" s="17" t="n">
        <v>4200000</v>
      </c>
      <c r="F43" s="18" t="inlineStr">
        <is>
          <t>Elevée</t>
        </is>
      </c>
      <c r="G43" s="12" t="inlineStr">
        <is>
          <t>Conception, développement, sécurité, accessibilité, reprise et recette. Chiffré à partir de la charge estimée de l'équipe.</t>
        </is>
      </c>
    </row>
    <row r="44">
      <c r="A44" s="9" t="inlineStr">
        <is>
          <t>Etalement de l'investissement</t>
        </is>
      </c>
      <c r="B44" s="3" t="inlineStr">
        <is>
          <t>mois</t>
        </is>
      </c>
      <c r="C44" s="10" t="n">
        <v>9</v>
      </c>
      <c r="D44" s="10" t="n">
        <v>7</v>
      </c>
      <c r="E44" s="10" t="n">
        <v>6</v>
      </c>
      <c r="F44" s="18" t="inlineStr">
        <is>
          <t>Elevée</t>
        </is>
      </c>
      <c r="G44" s="12" t="inlineStr">
        <is>
          <t>Etalement linéaire à compter du mois 1.</t>
        </is>
      </c>
    </row>
    <row r="45">
      <c r="A45" s="4" t="inlineStr">
        <is>
          <t>H. FISCALITE ET BASCULE</t>
        </is>
      </c>
      <c r="B45" s="5" t="n"/>
      <c r="C45" s="5" t="n"/>
      <c r="D45" s="5" t="n"/>
      <c r="E45" s="5" t="n"/>
      <c r="F45" s="5" t="n"/>
      <c r="G45" s="5" t="n"/>
    </row>
    <row r="46">
      <c r="A46" s="9" t="inlineStr">
        <is>
          <t>Impôt sur les sociétés (Nouvelle-Calédonie)</t>
        </is>
      </c>
      <c r="B46" s="3" t="inlineStr">
        <is>
          <t>%</t>
        </is>
      </c>
      <c r="C46" s="13" t="n">
        <v>0.3</v>
      </c>
      <c r="D46" s="13" t="n">
        <v>0.3</v>
      </c>
      <c r="E46" s="13" t="n">
        <v>0.3</v>
      </c>
      <c r="F46" s="18" t="inlineStr">
        <is>
          <t>Elevée</t>
        </is>
      </c>
      <c r="G46" s="12" t="inlineStr">
        <is>
          <t>Taux normal de l'IS en Nouvelle-Calédonie. Report des déficits antérieurs appliqué dans le calcul mensuel.</t>
        </is>
      </c>
    </row>
    <row r="47">
      <c r="A47" s="9" t="inlineStr">
        <is>
          <t>TGC applicable aux services (mémo)</t>
        </is>
      </c>
      <c r="B47" s="3" t="inlineStr">
        <is>
          <t>%</t>
        </is>
      </c>
      <c r="C47" s="13" t="n">
        <v>0.11</v>
      </c>
      <c r="D47" s="13" t="n">
        <v>0.11</v>
      </c>
      <c r="E47" s="13" t="n">
        <v>0.11</v>
      </c>
      <c r="F47" s="18" t="inlineStr">
        <is>
          <t>Elevée</t>
        </is>
      </c>
      <c r="G47" s="12" t="inlineStr">
        <is>
          <t>Taux normal de la Taxe Générale sur la Consommation. Neutre au compte de résultat (collectée puis reversée) : présentée pour mémoire.</t>
        </is>
      </c>
    </row>
    <row r="48">
      <c r="A48" s="9" t="inlineStr">
        <is>
          <t>Mois de bascule vers le service refondu</t>
        </is>
      </c>
      <c r="B48" s="3" t="inlineStr">
        <is>
          <t>mois</t>
        </is>
      </c>
      <c r="C48" s="10" t="n">
        <v>11</v>
      </c>
      <c r="D48" s="10" t="n">
        <v>10</v>
      </c>
      <c r="E48" s="10" t="n">
        <v>9</v>
      </c>
      <c r="F48" s="18" t="inlineStr">
        <is>
          <t>Elevée</t>
        </is>
      </c>
      <c r="G48" s="12" t="inlineStr">
        <is>
          <t>Fin du sprint POC, pilote, puis bascule. Déclenche la réalisation des coûts évités.</t>
        </is>
      </c>
    </row>
    <row r="49">
      <c r="A49" s="9" t="inlineStr">
        <is>
          <t>Durée de réalisation des économies</t>
        </is>
      </c>
      <c r="B49" s="3" t="inlineStr">
        <is>
          <t>mois</t>
        </is>
      </c>
      <c r="C49" s="10" t="n">
        <v>4</v>
      </c>
      <c r="D49" s="10" t="n">
        <v>3</v>
      </c>
      <c r="E49" s="10" t="n">
        <v>2</v>
      </c>
      <c r="F49" s="14" t="inlineStr">
        <is>
          <t>Moyenne</t>
        </is>
      </c>
      <c r="G49" s="12" t="inlineStr">
        <is>
          <t>Montée linéaire : période de double run entre l'ancien et le nouveau socle.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46" customWidth="1" min="1" max="1"/>
    <col width="16" customWidth="1" min="2" max="2"/>
    <col width="13" customWidth="1" min="3" max="3"/>
    <col width="13" customWidth="1" min="4" max="4"/>
    <col width="13" customWidth="1" min="5" max="5"/>
    <col width="13" customWidth="1" min="6" max="6"/>
    <col width="62" customWidth="1" min="7" max="7"/>
  </cols>
  <sheetData>
    <row r="1">
      <c r="A1" s="1" t="inlineStr">
        <is>
          <t>COUT COMPLET ACTUEL DU SERVICE ET TAUX D'EVITEMENT</t>
        </is>
      </c>
    </row>
    <row r="2">
      <c r="A2" s="3" t="inlineStr">
        <is>
          <t>Le coût évité est le contributeur principal à l'équilibre. Il porte sur des charges internes OPT-NC : aucun risque de cannibalisation d'une offre.</t>
        </is>
      </c>
    </row>
    <row r="3">
      <c r="A3" s="3" t="inlineStr">
        <is>
          <t>Chaque poste porte son propre taux d'évitement. Cellules jaunes = saisie.</t>
        </is>
      </c>
    </row>
    <row r="5" ht="30" customHeight="1">
      <c r="A5" s="8" t="inlineStr">
        <is>
          <t>Poste de coût du service historique</t>
        </is>
      </c>
      <c r="B5" s="8" t="inlineStr">
        <is>
          <t>Coût annuel actuel (XPF)</t>
        </is>
      </c>
      <c r="C5" s="8" t="inlineStr">
        <is>
          <t>Evité Prudent</t>
        </is>
      </c>
      <c r="D5" s="8" t="inlineStr">
        <is>
          <t>Evité Central</t>
        </is>
      </c>
      <c r="E5" s="8" t="inlineStr">
        <is>
          <t>Evité Ambitieux</t>
        </is>
      </c>
      <c r="F5" s="8" t="inlineStr">
        <is>
          <t>Confiance</t>
        </is>
      </c>
      <c r="G5" s="8" t="inlineStr">
        <is>
          <t>Justification du taux d'évitement</t>
        </is>
      </c>
    </row>
    <row r="6" ht="30" customHeight="1">
      <c r="A6" s="9" t="inlineStr">
        <is>
          <t>Hébergement et infrastructure on-premise allouée</t>
        </is>
      </c>
      <c r="B6" s="19" t="n">
        <v>1800000</v>
      </c>
      <c r="C6" s="20" t="n">
        <v>0.75</v>
      </c>
      <c r="D6" s="20" t="n">
        <v>0.85</v>
      </c>
      <c r="E6" s="20" t="n">
        <v>0.95</v>
      </c>
      <c r="F6" s="11" t="inlineStr">
        <is>
          <t>A VALIDER OPT</t>
        </is>
      </c>
      <c r="G6" s="12" t="inlineStr">
        <is>
          <t>Bascule vers un socle conteneurisé mutualisé. Quote-part serveurs, stockage, sauvegarde et supervision du service historique.</t>
        </is>
      </c>
    </row>
    <row r="7" ht="30" customHeight="1">
      <c r="A7" s="9" t="inlineStr">
        <is>
          <t>TMA et maintenance corrective</t>
        </is>
      </c>
      <c r="B7" s="19" t="n">
        <v>3600000</v>
      </c>
      <c r="C7" s="20" t="n">
        <v>0.72</v>
      </c>
      <c r="D7" s="20" t="n">
        <v>0.8</v>
      </c>
      <c r="E7" s="20" t="n">
        <v>0.9</v>
      </c>
      <c r="F7" s="11" t="inlineStr">
        <is>
          <t>A VALIDER OPT</t>
        </is>
      </c>
      <c r="G7" s="12" t="inlineStr">
        <is>
          <t>Poste le plus lourd du legacy. Remplaçé par une stack open source maintenue en continu, avec tests automatisés et déploiement reproductible.</t>
        </is>
      </c>
    </row>
    <row r="8" ht="30" customHeight="1">
      <c r="A8" s="9" t="inlineStr">
        <is>
          <t>Exploitation interne (0,25 ETP)</t>
        </is>
      </c>
      <c r="B8" s="19" t="n">
        <v>2000000</v>
      </c>
      <c r="C8" s="20" t="n">
        <v>0.6</v>
      </c>
      <c r="D8" s="20" t="n">
        <v>0.75</v>
      </c>
      <c r="E8" s="20" t="n">
        <v>0.85</v>
      </c>
      <c r="F8" s="11" t="inlineStr">
        <is>
          <t>A VALIDER OPT</t>
        </is>
      </c>
      <c r="G8" s="12" t="inlineStr">
        <is>
          <t>Supervision, redémarrages, gestion des incidents et des évolutions mineures. Automatisée par l'observabilité et les déploiements sans interruption.</t>
        </is>
      </c>
    </row>
    <row r="9" ht="30" customHeight="1">
      <c r="A9" s="9" t="inlineStr">
        <is>
          <t>Support N1/N2 : abus, réclamations, signalements</t>
        </is>
      </c>
      <c r="B9" s="19" t="n">
        <v>900000</v>
      </c>
      <c r="C9" s="20" t="n">
        <v>0.6</v>
      </c>
      <c r="D9" s="20" t="n">
        <v>0.75</v>
      </c>
      <c r="E9" s="20" t="n">
        <v>0.9</v>
      </c>
      <c r="F9" s="14" t="inlineStr">
        <is>
          <t>Moyenne</t>
        </is>
      </c>
      <c r="G9" s="12" t="inlineStr">
        <is>
          <t>Directement réduit par le dispositif de confiance sur le canal 1000 : vérification d'origine d'un Mobitag, signalement en un clic, maîtrise par le destinataire. C'est la contribution économique de la ligne F11.</t>
        </is>
      </c>
    </row>
    <row r="10" ht="30" customHeight="1">
      <c r="A10" s="9" t="inlineStr">
        <is>
          <t>Licences et composants propriétaires</t>
        </is>
      </c>
      <c r="B10" s="19" t="n">
        <v>450000</v>
      </c>
      <c r="C10" s="20" t="n">
        <v>0.85</v>
      </c>
      <c r="D10" s="20" t="n">
        <v>0.95</v>
      </c>
      <c r="E10" s="20" t="n">
        <v>1</v>
      </c>
      <c r="F10" s="14" t="inlineStr">
        <is>
          <t>Moyenne</t>
        </is>
      </c>
      <c r="G10" s="12" t="inlineStr">
        <is>
          <t>Supprimées par l'exigence open source du challenge. Evitement quasi total par construction.</t>
        </is>
      </c>
    </row>
    <row r="11" ht="30" customHeight="1">
      <c r="A11" s="9" t="inlineStr">
        <is>
          <t>Acheminement des SMS du service historique</t>
        </is>
      </c>
      <c r="B11" s="19" t="n">
        <v>700000</v>
      </c>
      <c r="C11" s="20" t="n">
        <v>1</v>
      </c>
      <c r="D11" s="20" t="n">
        <v>1</v>
      </c>
      <c r="E11" s="20" t="n">
        <v>1</v>
      </c>
      <c r="F11" s="11" t="inlineStr">
        <is>
          <t>A VALIDER OPT</t>
        </is>
      </c>
      <c r="G11" s="12" t="inlineStr">
        <is>
          <t>Charge reprise A L'IDENTIQUE par le service refondu, où elle figure en coût variable. Neutre au différentiel : présentée des deux côtés pour que le comparatif soit auditable et qu'aucun coût du socle gratuit ne soit dissimulé.</t>
        </is>
      </c>
    </row>
    <row r="12">
      <c r="A12" s="21" t="inlineStr">
        <is>
          <t>TOTAL COUT COMPLET ANNUEL ACTUEL</t>
        </is>
      </c>
      <c r="B12" s="22">
        <f>SUM(B6:B11)</f>
        <v/>
      </c>
      <c r="C12" s="23" t="n"/>
      <c r="D12" s="23" t="n"/>
      <c r="E12" s="23" t="n"/>
      <c r="F12" s="23" t="n"/>
      <c r="G12" s="23" t="n"/>
    </row>
    <row r="13">
      <c r="A13" s="24" t="inlineStr">
        <is>
          <t>ECONOMIE ANNUELLE RETENUE (régime établi)</t>
        </is>
      </c>
      <c r="B13" s="25" t="n"/>
      <c r="C13" s="26">
        <f>SUMPRODUCT($B$6:$B$11,C6:C11)</f>
        <v/>
      </c>
      <c r="D13" s="26">
        <f>SUMPRODUCT($B$6:$B$11,D6:D11)</f>
        <v/>
      </c>
      <c r="E13" s="26">
        <f>SUMPRODUCT($B$6:$B$11,E6:E11)</f>
        <v/>
      </c>
      <c r="F13" s="25" t="n"/>
      <c r="G13" s="25" t="n"/>
    </row>
    <row r="14">
      <c r="A14" s="27" t="inlineStr">
        <is>
          <t>Economie mensuelle en régime établi</t>
        </is>
      </c>
      <c r="C14" s="28">
        <f>C13/12</f>
        <v/>
      </c>
      <c r="D14" s="28">
        <f>D13/12</f>
        <v/>
      </c>
      <c r="E14" s="28">
        <f>E13/12</f>
        <v/>
      </c>
    </row>
    <row r="15">
      <c r="A15" s="29" t="inlineStr">
        <is>
          <t>Taux d'évitement global</t>
        </is>
      </c>
      <c r="C15" s="30">
        <f>C13/$B$12</f>
        <v/>
      </c>
      <c r="D15" s="30">
        <f>D13/$B$12</f>
        <v/>
      </c>
      <c r="E15" s="30">
        <f>E13/$B$12</f>
        <v/>
      </c>
    </row>
    <row r="17" ht="24" customHeight="1">
      <c r="A17" s="12" t="inlineStr">
        <is>
          <t>Absence de double comptage : les coûts évités ci-dessus correspondent à l'ARRET du service historique.</t>
        </is>
      </c>
    </row>
    <row r="18" ht="24" customHeight="1">
      <c r="A18" s="12" t="inlineStr">
        <is>
          <t>Les coûts d'exploitation du service refondu (run, cloud, support, communication) sont portés séparément en coûts fixes dans les onglets 4 à 6. Le modèle ne compte donc jamais deux fois la même charge.</t>
        </is>
      </c>
    </row>
    <row r="19" ht="24" customHeight="1">
      <c r="A19" s="12" t="inlineStr">
        <is>
          <t>La réalisation de ces économies débute au mois de bascule (hypothèse 'switch') et monte linéairement sur la durée de double run (hypothèse 'switchramp').</t>
        </is>
      </c>
    </row>
  </sheetData>
  <mergeCells count="3">
    <mergeCell ref="A19:G19"/>
    <mergeCell ref="A17:G17"/>
    <mergeCell ref="A18:G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52" customWidth="1" min="1" max="1"/>
    <col width="12" customWidth="1" min="2" max="2"/>
    <col width="15" customWidth="1" min="3" max="3"/>
    <col width="15" customWidth="1" min="4" max="4"/>
    <col width="15" customWidth="1" min="5" max="5"/>
    <col width="70" customWidth="1" min="6" max="6"/>
  </cols>
  <sheetData>
    <row r="1">
      <c r="A1" s="1" t="inlineStr">
        <is>
          <t>UNIT ECONOMICS ET RATIOS DE CONTROLE</t>
        </is>
      </c>
    </row>
    <row r="2">
      <c r="A2" s="3" t="inlineStr">
        <is>
          <t>Valeurs calculées au mois 24. Montants en XPF HT.</t>
        </is>
      </c>
    </row>
    <row r="4">
      <c r="A4" s="31" t="inlineStr">
        <is>
          <t>Indicateur</t>
        </is>
      </c>
      <c r="B4" s="31" t="inlineStr">
        <is>
          <t>Unité</t>
        </is>
      </c>
      <c r="C4" s="31" t="inlineStr">
        <is>
          <t>Prudent</t>
        </is>
      </c>
      <c r="D4" s="31" t="inlineStr">
        <is>
          <t>Central</t>
        </is>
      </c>
      <c r="E4" s="31" t="inlineStr">
        <is>
          <t>Ambitieux</t>
        </is>
      </c>
      <c r="F4" s="31" t="inlineStr">
        <is>
          <t>Lecture</t>
        </is>
      </c>
    </row>
    <row r="5">
      <c r="A5" s="4" t="inlineStr">
        <is>
          <t>COUT DE REVIENT DU SOCLE GRATUIT</t>
        </is>
      </c>
      <c r="B5" s="5" t="n"/>
      <c r="C5" s="5" t="n"/>
      <c r="D5" s="5" t="n"/>
      <c r="E5" s="5" t="n"/>
      <c r="F5" s="5" t="n"/>
    </row>
    <row r="6" ht="28" customHeight="1">
      <c r="A6" s="9" t="inlineStr">
        <is>
          <t>Coût variable d'un SMS gratuit envoyé</t>
        </is>
      </c>
      <c r="B6" s="3" t="inlineStr">
        <is>
          <t>XPF/SMS</t>
        </is>
      </c>
      <c r="C6" s="32">
        <f>'1_Hypotheses'!$C$33</f>
        <v/>
      </c>
      <c r="D6" s="32">
        <f>'1_Hypotheses'!$D$33</f>
        <v/>
      </c>
      <c r="E6" s="32">
        <f>'1_Hypotheses'!$E$33</f>
        <v/>
      </c>
      <c r="F6" s="12" t="inlineStr">
        <is>
          <t>Coût marginal d'acheminement. Reste à la charge du service : le socle gratuit n'est jamais facturé.</t>
        </is>
      </c>
    </row>
    <row r="7" ht="28" customHeight="1">
      <c r="A7" s="9" t="inlineStr">
        <is>
          <t>Coût complet mensuel du socle gratuit par MAU</t>
        </is>
      </c>
      <c r="B7" s="3" t="inlineStr">
        <is>
          <t>XPF/MAU</t>
        </is>
      </c>
      <c r="C7" s="32">
        <f>-('4_PL_Prudent'!Z25+'4_PL_Prudent'!Z41)/'4_PL_Prudent'!Z7</f>
        <v/>
      </c>
      <c r="D7" s="32">
        <f>-('5_PL_Central'!Z25+'5_PL_Central'!Z41)/'5_PL_Central'!Z7</f>
        <v/>
      </c>
      <c r="E7" s="32">
        <f>-('6_PL_Ambitieux'!Z25+'6_PL_Ambitieux'!Z41)/'6_PL_Ambitieux'!Z7</f>
        <v/>
      </c>
      <c r="F7" s="12" t="inlineStr">
        <is>
          <t>Coûts variables et fixes rapportés à l'utilisateur actif au mois 24. Mesure la sobriété du service refondu.</t>
        </is>
      </c>
    </row>
    <row r="8" ht="28" customHeight="1">
      <c r="A8" s="33" t="inlineStr">
        <is>
          <t>Coût complet annuel du socle gratuit</t>
        </is>
      </c>
      <c r="B8" s="3" t="inlineStr">
        <is>
          <t>XPF/an</t>
        </is>
      </c>
      <c r="C8" s="34">
        <f>-('4_PL_Prudent'!Z25+'4_PL_Prudent'!Z41)*12</f>
        <v/>
      </c>
      <c r="D8" s="34">
        <f>-('5_PL_Central'!Z25+'5_PL_Central'!Z41)*12</f>
        <v/>
      </c>
      <c r="E8" s="34">
        <f>-('6_PL_Ambitieux'!Z25+'6_PL_Ambitieux'!Z41)*12</f>
        <v/>
      </c>
      <c r="F8" s="12" t="inlineStr">
        <is>
          <t>A comparer au coût complet actuel du service, onglet 2.</t>
        </is>
      </c>
    </row>
    <row r="9">
      <c r="A9" s="4" t="inlineStr">
        <is>
          <t>VALEUR DES APPORTS D'AFFAIRES</t>
        </is>
      </c>
      <c r="B9" s="5" t="n"/>
      <c r="C9" s="5" t="n"/>
      <c r="D9" s="5" t="n"/>
      <c r="E9" s="5" t="n"/>
      <c r="F9" s="5" t="n"/>
    </row>
    <row r="10" ht="28" customHeight="1">
      <c r="A10" s="9" t="inlineStr">
        <is>
          <t>Valeur annuelle attribuée d'un client Helia PRO apporté</t>
        </is>
      </c>
      <c r="B10" s="3" t="inlineStr">
        <is>
          <t>XPF/an</t>
        </is>
      </c>
      <c r="C10" s="35">
        <f>'1_Hypotheses'!$C$15*'1_Hypotheses'!$C$16</f>
        <v/>
      </c>
      <c r="D10" s="35">
        <f>'1_Hypotheses'!$D$15*'1_Hypotheses'!$D$16</f>
        <v/>
      </c>
      <c r="E10" s="35">
        <f>'1_Hypotheses'!$E$15*'1_Hypotheses'!$E$16</f>
        <v/>
      </c>
      <c r="F10" s="12" t="inlineStr">
        <is>
          <t>Marge annuelle moyenne multipliée par le taux d'attribution. Attribution volontairement partielle.</t>
        </is>
      </c>
    </row>
    <row r="11" ht="28" customHeight="1">
      <c r="A11" s="9" t="inlineStr">
        <is>
          <t>Durée de vie moyenne d'un compte PRO apporté</t>
        </is>
      </c>
      <c r="B11" s="3" t="inlineStr">
        <is>
          <t>mois</t>
        </is>
      </c>
      <c r="C11" s="32">
        <f>1/'1_Hypotheses'!$C$17</f>
        <v/>
      </c>
      <c r="D11" s="32">
        <f>1/'1_Hypotheses'!$D$17</f>
        <v/>
      </c>
      <c r="E11" s="32">
        <f>1/'1_Hypotheses'!$E$17</f>
        <v/>
      </c>
      <c r="F11" s="12" t="inlineStr">
        <is>
          <t>Inverse de l'attrition mensuelle.</t>
        </is>
      </c>
    </row>
    <row r="12" ht="28" customHeight="1">
      <c r="A12" s="33" t="inlineStr">
        <is>
          <t>Valeur vie attribuée d'un client Helia PRO</t>
        </is>
      </c>
      <c r="B12" s="3" t="inlineStr">
        <is>
          <t>XPF</t>
        </is>
      </c>
      <c r="C12" s="34">
        <f>'1_Hypotheses'!$C$15/12*'1_Hypotheses'!$C$16/'1_Hypotheses'!$C$17</f>
        <v/>
      </c>
      <c r="D12" s="34">
        <f>'1_Hypotheses'!$D$15/12*'1_Hypotheses'!$D$16/'1_Hypotheses'!$D$17</f>
        <v/>
      </c>
      <c r="E12" s="34">
        <f>'1_Hypotheses'!$E$15/12*'1_Hypotheses'!$E$16/'1_Hypotheses'!$E$17</f>
        <v/>
      </c>
      <c r="F12" s="12" t="inlineStr">
        <is>
          <t>LTV attribuée au service Mobitag NG.</t>
        </is>
      </c>
    </row>
    <row r="13" ht="28" customHeight="1">
      <c r="A13" s="33" t="inlineStr">
        <is>
          <t>Valeur vie attribuée d'une ligne grand public</t>
        </is>
      </c>
      <c r="B13" s="3" t="inlineStr">
        <is>
          <t>XPF</t>
        </is>
      </c>
      <c r="C13" s="34">
        <f>'1_Hypotheses'!$C$23/12*'1_Hypotheses'!$C$24/'1_Hypotheses'!$C$25</f>
        <v/>
      </c>
      <c r="D13" s="34">
        <f>'1_Hypotheses'!$D$23/12*'1_Hypotheses'!$D$24/'1_Hypotheses'!$D$25</f>
        <v/>
      </c>
      <c r="E13" s="34">
        <f>'1_Hypotheses'!$E$23/12*'1_Hypotheses'!$E$24/'1_Hypotheses'!$E$25</f>
        <v/>
      </c>
      <c r="F13" s="12" t="inlineStr">
        <is>
          <t>Idem côté activation de lignes.</t>
        </is>
      </c>
    </row>
    <row r="14" ht="28" customHeight="1">
      <c r="A14" s="9" t="inlineStr">
        <is>
          <t>Coût d'acquisition d'un apport (CAC proxy)</t>
        </is>
      </c>
      <c r="B14" s="3" t="inlineStr">
        <is>
          <t>XPF</t>
        </is>
      </c>
      <c r="C14" s="35">
        <f>-('1_Hypotheses'!$C$40*24)/('4_PL_Prudent'!B12+'4_PL_Prudent'!B14)</f>
        <v/>
      </c>
      <c r="D14" s="35">
        <f>-('1_Hypotheses'!$D$40*24)/('5_PL_Central'!B12+'5_PL_Central'!B14)</f>
        <v/>
      </c>
      <c r="E14" s="35">
        <f>-('1_Hypotheses'!$E$40*24)/('6_PL_Ambitieux'!B12+'6_PL_Ambitieux'!B14)</f>
        <v/>
      </c>
      <c r="F14" s="12" t="inlineStr">
        <is>
          <t>Budget communication sur 24 mois rapporté au nombre total d'apports générés.</t>
        </is>
      </c>
    </row>
    <row r="15" ht="28" customHeight="1">
      <c r="A15" s="33" t="inlineStr">
        <is>
          <t>Ratio LTV / CAC (apports B2C)</t>
        </is>
      </c>
      <c r="B15" s="3" t="inlineStr">
        <is>
          <t>x</t>
        </is>
      </c>
      <c r="C15" s="36">
        <f>('1_Hypotheses'!$C$23/12*'1_Hypotheses'!$C$24/'1_Hypotheses'!$C$25)/(-('1_Hypotheses'!$C$40*24)/('4_PL_Prudent'!B12+'4_PL_Prudent'!B14))</f>
        <v/>
      </c>
      <c r="D15" s="36">
        <f>('1_Hypotheses'!$D$23/12*'1_Hypotheses'!$D$24/'1_Hypotheses'!$D$25)/(-('1_Hypotheses'!$D$40*24)/('5_PL_Central'!B12+'5_PL_Central'!B14))</f>
        <v/>
      </c>
      <c r="E15" s="36">
        <f>('1_Hypotheses'!$E$23/12*'1_Hypotheses'!$E$24/'1_Hypotheses'!$E$25)/(-('1_Hypotheses'!$E$40*24)/('6_PL_Ambitieux'!B12+'6_PL_Ambitieux'!B14))</f>
        <v/>
      </c>
      <c r="F15" s="12" t="inlineStr">
        <is>
          <t>Au-dessus de 3, l'acquisition est saine. Sert de garde-fou au budget communication.</t>
        </is>
      </c>
    </row>
    <row r="16">
      <c r="A16" s="4" t="inlineStr">
        <is>
          <t>STRUCTURE ECONOMIQUE AU MOIS 24</t>
        </is>
      </c>
      <c r="B16" s="5" t="n"/>
      <c r="C16" s="5" t="n"/>
      <c r="D16" s="5" t="n"/>
      <c r="E16" s="5" t="n"/>
      <c r="F16" s="5" t="n"/>
    </row>
    <row r="17" ht="28" customHeight="1">
      <c r="A17" s="33" t="inlineStr">
        <is>
          <t>Part des coûts évités dans l'équilibre</t>
        </is>
      </c>
      <c r="B17" s="3" t="inlineStr">
        <is>
          <t>%</t>
        </is>
      </c>
      <c r="C17" s="37">
        <f>'4_PL_Prudent'!Z35/('4_PL_Prudent'!Z35+'4_PL_Prudent'!Z26)</f>
        <v/>
      </c>
      <c r="D17" s="37">
        <f>'5_PL_Central'!Z35/('5_PL_Central'!Z35+'5_PL_Central'!Z26)</f>
        <v/>
      </c>
      <c r="E17" s="37">
        <f>'6_PL_Ambitieux'!Z35/('6_PL_Ambitieux'!Z35+'6_PL_Ambitieux'!Z26)</f>
        <v/>
      </c>
      <c r="F17" s="12" t="inlineStr">
        <is>
          <t>Mesure la dépendance du modèle au levier économies. Volontairement majoritaire : c'est le levier le plus certain et le seul totalement non redondant.</t>
        </is>
      </c>
    </row>
    <row r="18" ht="28" customHeight="1">
      <c r="A18" s="9" t="inlineStr">
        <is>
          <t>Part des apports d'affaires dans l'équilibre</t>
        </is>
      </c>
      <c r="B18" s="3" t="inlineStr">
        <is>
          <t>%</t>
        </is>
      </c>
      <c r="C18" s="38">
        <f>'4_PL_Prudent'!Z26/('4_PL_Prudent'!Z35+'4_PL_Prudent'!Z26)</f>
        <v/>
      </c>
      <c r="D18" s="38">
        <f>'5_PL_Central'!Z26/('5_PL_Central'!Z35+'5_PL_Central'!Z26)</f>
        <v/>
      </c>
      <c r="E18" s="38">
        <f>'6_PL_Ambitieux'!Z26/('6_PL_Ambitieux'!Z35+'6_PL_Ambitieux'!Z26)</f>
        <v/>
      </c>
      <c r="F18" s="12" t="inlineStr">
        <is>
          <t>Contribution des lignes B2B et B2C, sponsoring inclus.</t>
        </is>
      </c>
    </row>
    <row r="19" ht="28" customHeight="1">
      <c r="A19" s="33" t="inlineStr">
        <is>
          <t>Taux de couverture des coûts fixes</t>
        </is>
      </c>
      <c r="B19" s="3" t="inlineStr">
        <is>
          <t>%</t>
        </is>
      </c>
      <c r="C19" s="37">
        <f>('4_PL_Prudent'!Z26+'4_PL_Prudent'!Z35)/-'4_PL_Prudent'!Z41</f>
        <v/>
      </c>
      <c r="D19" s="37">
        <f>('5_PL_Central'!Z26+'5_PL_Central'!Z35)/-'5_PL_Central'!Z41</f>
        <v/>
      </c>
      <c r="E19" s="37">
        <f>('6_PL_Ambitieux'!Z26+'6_PL_Ambitieux'!Z35)/-'6_PL_Ambitieux'!Z41</f>
        <v/>
      </c>
      <c r="F19" s="12" t="inlineStr">
        <is>
          <t>Au-dessus de 100 %, le service s'autofinance hors investissement.</t>
        </is>
      </c>
    </row>
    <row r="20" ht="28" customHeight="1">
      <c r="A20" s="9" t="inlineStr">
        <is>
          <t>Marge contributive annualisée</t>
        </is>
      </c>
      <c r="B20" s="3" t="inlineStr">
        <is>
          <t>XPF/an</t>
        </is>
      </c>
      <c r="C20" s="35">
        <f>'4_PL_Prudent'!Z26*12</f>
        <v/>
      </c>
      <c r="D20" s="35">
        <f>'5_PL_Central'!Z26*12</f>
        <v/>
      </c>
      <c r="E20" s="35">
        <f>'6_PL_Ambitieux'!Z26*12</f>
        <v/>
      </c>
      <c r="F20" s="12" t="inlineStr">
        <is>
          <t>Marge contributive du mois 24 annualisée.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c r="A1" s="1" t="inlineStr">
        <is>
          <t>COMPTE DE RESULTAT MENSUEL 24 MOIS - SCENARIO PRUDENT</t>
        </is>
      </c>
    </row>
    <row r="2">
      <c r="A2" s="3" t="inlineStr">
        <is>
          <t>Montants en XPF HT. Vue service Mobitag Nouvelle Génération (périmètre OPT-NC).</t>
        </is>
      </c>
    </row>
    <row r="3">
      <c r="A3" s="3" t="inlineStr">
        <is>
          <t>Aucune ligne de revenu issue de la vente de volume SMS au particulier.</t>
        </is>
      </c>
    </row>
    <row r="5">
      <c r="A5" s="39" t="inlineStr">
        <is>
          <t>Poste</t>
        </is>
      </c>
      <c r="B5" s="40" t="inlineStr">
        <is>
          <t>Total 24M</t>
        </is>
      </c>
      <c r="C5" s="40" t="inlineStr">
        <is>
          <t>M1</t>
        </is>
      </c>
      <c r="D5" s="40" t="inlineStr">
        <is>
          <t>M2</t>
        </is>
      </c>
      <c r="E5" s="40" t="inlineStr">
        <is>
          <t>M3</t>
        </is>
      </c>
      <c r="F5" s="40" t="inlineStr">
        <is>
          <t>M4</t>
        </is>
      </c>
      <c r="G5" s="40" t="inlineStr">
        <is>
          <t>M5</t>
        </is>
      </c>
      <c r="H5" s="40" t="inlineStr">
        <is>
          <t>M6</t>
        </is>
      </c>
      <c r="I5" s="40" t="inlineStr">
        <is>
          <t>M7</t>
        </is>
      </c>
      <c r="J5" s="40" t="inlineStr">
        <is>
          <t>M8</t>
        </is>
      </c>
      <c r="K5" s="40" t="inlineStr">
        <is>
          <t>M9</t>
        </is>
      </c>
      <c r="L5" s="40" t="inlineStr">
        <is>
          <t>M10</t>
        </is>
      </c>
      <c r="M5" s="40" t="inlineStr">
        <is>
          <t>M11</t>
        </is>
      </c>
      <c r="N5" s="40" t="inlineStr">
        <is>
          <t>M12</t>
        </is>
      </c>
      <c r="O5" s="40" t="inlineStr">
        <is>
          <t>M13</t>
        </is>
      </c>
      <c r="P5" s="40" t="inlineStr">
        <is>
          <t>M14</t>
        </is>
      </c>
      <c r="Q5" s="40" t="inlineStr">
        <is>
          <t>M15</t>
        </is>
      </c>
      <c r="R5" s="40" t="inlineStr">
        <is>
          <t>M16</t>
        </is>
      </c>
      <c r="S5" s="40" t="inlineStr">
        <is>
          <t>M17</t>
        </is>
      </c>
      <c r="T5" s="40" t="inlineStr">
        <is>
          <t>M18</t>
        </is>
      </c>
      <c r="U5" s="40" t="inlineStr">
        <is>
          <t>M19</t>
        </is>
      </c>
      <c r="V5" s="40" t="inlineStr">
        <is>
          <t>M20</t>
        </is>
      </c>
      <c r="W5" s="40" t="inlineStr">
        <is>
          <t>M21</t>
        </is>
      </c>
      <c r="X5" s="40" t="inlineStr">
        <is>
          <t>M22</t>
        </is>
      </c>
      <c r="Y5" s="40" t="inlineStr">
        <is>
          <t>M23</t>
        </is>
      </c>
      <c r="Z5" s="40" t="inlineStr">
        <is>
          <t>M24</t>
        </is>
      </c>
    </row>
    <row r="6">
      <c r="A6" s="4" t="inlineStr">
        <is>
          <t>VOLUMETRIE</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41" t="inlineStr">
        <is>
          <t>Utilisateurs actifs mensuels (MAU)</t>
        </is>
      </c>
      <c r="B7" s="42">
        <f>Z7</f>
        <v/>
      </c>
      <c r="C7" s="43">
        <f>'1_Hypotheses'!$C$7</f>
        <v/>
      </c>
      <c r="D7" s="43">
        <f>MIN('1_Hypotheses'!$C$9,C7*(1+'1_Hypotheses'!$C$8))</f>
        <v/>
      </c>
      <c r="E7" s="43">
        <f>MIN('1_Hypotheses'!$C$9,D7*(1+'1_Hypotheses'!$C$8))</f>
        <v/>
      </c>
      <c r="F7" s="43">
        <f>MIN('1_Hypotheses'!$C$9,E7*(1+'1_Hypotheses'!$C$8))</f>
        <v/>
      </c>
      <c r="G7" s="43">
        <f>MIN('1_Hypotheses'!$C$9,F7*(1+'1_Hypotheses'!$C$8))</f>
        <v/>
      </c>
      <c r="H7" s="43">
        <f>MIN('1_Hypotheses'!$C$9,G7*(1+'1_Hypotheses'!$C$8))</f>
        <v/>
      </c>
      <c r="I7" s="43">
        <f>MIN('1_Hypotheses'!$C$9,H7*(1+'1_Hypotheses'!$C$8))</f>
        <v/>
      </c>
      <c r="J7" s="43">
        <f>MIN('1_Hypotheses'!$C$9,I7*(1+'1_Hypotheses'!$C$8))</f>
        <v/>
      </c>
      <c r="K7" s="43">
        <f>MIN('1_Hypotheses'!$C$9,J7*(1+'1_Hypotheses'!$C$8))</f>
        <v/>
      </c>
      <c r="L7" s="43">
        <f>MIN('1_Hypotheses'!$C$9,K7*(1+'1_Hypotheses'!$C$8))</f>
        <v/>
      </c>
      <c r="M7" s="43">
        <f>MIN('1_Hypotheses'!$C$9,L7*(1+'1_Hypotheses'!$C$8))</f>
        <v/>
      </c>
      <c r="N7" s="43">
        <f>MIN('1_Hypotheses'!$C$9,M7*(1+'1_Hypotheses'!$C$8))</f>
        <v/>
      </c>
      <c r="O7" s="43">
        <f>MIN('1_Hypotheses'!$C$9,N7*(1+'1_Hypotheses'!$C$8))</f>
        <v/>
      </c>
      <c r="P7" s="43">
        <f>MIN('1_Hypotheses'!$C$9,O7*(1+'1_Hypotheses'!$C$8))</f>
        <v/>
      </c>
      <c r="Q7" s="43">
        <f>MIN('1_Hypotheses'!$C$9,P7*(1+'1_Hypotheses'!$C$8))</f>
        <v/>
      </c>
      <c r="R7" s="43">
        <f>MIN('1_Hypotheses'!$C$9,Q7*(1+'1_Hypotheses'!$C$8))</f>
        <v/>
      </c>
      <c r="S7" s="43">
        <f>MIN('1_Hypotheses'!$C$9,R7*(1+'1_Hypotheses'!$C$8))</f>
        <v/>
      </c>
      <c r="T7" s="43">
        <f>MIN('1_Hypotheses'!$C$9,S7*(1+'1_Hypotheses'!$C$8))</f>
        <v/>
      </c>
      <c r="U7" s="43">
        <f>MIN('1_Hypotheses'!$C$9,T7*(1+'1_Hypotheses'!$C$8))</f>
        <v/>
      </c>
      <c r="V7" s="43">
        <f>MIN('1_Hypotheses'!$C$9,U7*(1+'1_Hypotheses'!$C$8))</f>
        <v/>
      </c>
      <c r="W7" s="43">
        <f>MIN('1_Hypotheses'!$C$9,V7*(1+'1_Hypotheses'!$C$8))</f>
        <v/>
      </c>
      <c r="X7" s="43">
        <f>MIN('1_Hypotheses'!$C$9,W7*(1+'1_Hypotheses'!$C$8))</f>
        <v/>
      </c>
      <c r="Y7" s="43">
        <f>MIN('1_Hypotheses'!$C$9,X7*(1+'1_Hypotheses'!$C$8))</f>
        <v/>
      </c>
      <c r="Z7" s="43">
        <f>MIN('1_Hypotheses'!$C$9,Y7*(1+'1_Hypotheses'!$C$8))</f>
        <v/>
      </c>
    </row>
    <row r="8">
      <c r="A8" s="41" t="inlineStr">
        <is>
          <t>SMS gratuits envoyés</t>
        </is>
      </c>
      <c r="B8" s="42">
        <f>SUM(C8:Z8)</f>
        <v/>
      </c>
      <c r="C8" s="43">
        <f>C7*'1_Hypotheses'!$C$10</f>
        <v/>
      </c>
      <c r="D8" s="43">
        <f>D7*'1_Hypotheses'!$C$10</f>
        <v/>
      </c>
      <c r="E8" s="43">
        <f>E7*'1_Hypotheses'!$C$10</f>
        <v/>
      </c>
      <c r="F8" s="43">
        <f>F7*'1_Hypotheses'!$C$10</f>
        <v/>
      </c>
      <c r="G8" s="43">
        <f>G7*'1_Hypotheses'!$C$10</f>
        <v/>
      </c>
      <c r="H8" s="43">
        <f>H7*'1_Hypotheses'!$C$10</f>
        <v/>
      </c>
      <c r="I8" s="43">
        <f>I7*'1_Hypotheses'!$C$10</f>
        <v/>
      </c>
      <c r="J8" s="43">
        <f>J7*'1_Hypotheses'!$C$10</f>
        <v/>
      </c>
      <c r="K8" s="43">
        <f>K7*'1_Hypotheses'!$C$10</f>
        <v/>
      </c>
      <c r="L8" s="43">
        <f>L7*'1_Hypotheses'!$C$10</f>
        <v/>
      </c>
      <c r="M8" s="43">
        <f>M7*'1_Hypotheses'!$C$10</f>
        <v/>
      </c>
      <c r="N8" s="43">
        <f>N7*'1_Hypotheses'!$C$10</f>
        <v/>
      </c>
      <c r="O8" s="43">
        <f>O7*'1_Hypotheses'!$C$10</f>
        <v/>
      </c>
      <c r="P8" s="43">
        <f>P7*'1_Hypotheses'!$C$10</f>
        <v/>
      </c>
      <c r="Q8" s="43">
        <f>Q7*'1_Hypotheses'!$C$10</f>
        <v/>
      </c>
      <c r="R8" s="43">
        <f>R7*'1_Hypotheses'!$C$10</f>
        <v/>
      </c>
      <c r="S8" s="43">
        <f>S7*'1_Hypotheses'!$C$10</f>
        <v/>
      </c>
      <c r="T8" s="43">
        <f>T7*'1_Hypotheses'!$C$10</f>
        <v/>
      </c>
      <c r="U8" s="43">
        <f>U7*'1_Hypotheses'!$C$10</f>
        <v/>
      </c>
      <c r="V8" s="43">
        <f>V7*'1_Hypotheses'!$C$10</f>
        <v/>
      </c>
      <c r="W8" s="43">
        <f>W7*'1_Hypotheses'!$C$10</f>
        <v/>
      </c>
      <c r="X8" s="43">
        <f>X7*'1_Hypotheses'!$C$10</f>
        <v/>
      </c>
      <c r="Y8" s="43">
        <f>Y7*'1_Hypotheses'!$C$10</f>
        <v/>
      </c>
      <c r="Z8" s="43">
        <f>Z7*'1_Hypotheses'!$C$10</f>
        <v/>
      </c>
    </row>
    <row r="9">
      <c r="A9" s="41" t="inlineStr">
        <is>
          <t>Usages professionnels détectés</t>
        </is>
      </c>
      <c r="B9" s="44">
        <f>SUM(C9:Z9)</f>
        <v/>
      </c>
      <c r="C9" s="32">
        <f>C7*'1_Hypotheses'!$C$12</f>
        <v/>
      </c>
      <c r="D9" s="32">
        <f>D7*'1_Hypotheses'!$C$12</f>
        <v/>
      </c>
      <c r="E9" s="32">
        <f>E7*'1_Hypotheses'!$C$12</f>
        <v/>
      </c>
      <c r="F9" s="32">
        <f>F7*'1_Hypotheses'!$C$12</f>
        <v/>
      </c>
      <c r="G9" s="32">
        <f>G7*'1_Hypotheses'!$C$12</f>
        <v/>
      </c>
      <c r="H9" s="32">
        <f>H7*'1_Hypotheses'!$C$12</f>
        <v/>
      </c>
      <c r="I9" s="32">
        <f>I7*'1_Hypotheses'!$C$12</f>
        <v/>
      </c>
      <c r="J9" s="32">
        <f>J7*'1_Hypotheses'!$C$12</f>
        <v/>
      </c>
      <c r="K9" s="32">
        <f>K7*'1_Hypotheses'!$C$12</f>
        <v/>
      </c>
      <c r="L9" s="32">
        <f>L7*'1_Hypotheses'!$C$12</f>
        <v/>
      </c>
      <c r="M9" s="32">
        <f>M7*'1_Hypotheses'!$C$12</f>
        <v/>
      </c>
      <c r="N9" s="32">
        <f>N7*'1_Hypotheses'!$C$12</f>
        <v/>
      </c>
      <c r="O9" s="32">
        <f>O7*'1_Hypotheses'!$C$12</f>
        <v/>
      </c>
      <c r="P9" s="32">
        <f>P7*'1_Hypotheses'!$C$12</f>
        <v/>
      </c>
      <c r="Q9" s="32">
        <f>Q7*'1_Hypotheses'!$C$12</f>
        <v/>
      </c>
      <c r="R9" s="32">
        <f>R7*'1_Hypotheses'!$C$12</f>
        <v/>
      </c>
      <c r="S9" s="32">
        <f>S7*'1_Hypotheses'!$C$12</f>
        <v/>
      </c>
      <c r="T9" s="32">
        <f>T7*'1_Hypotheses'!$C$12</f>
        <v/>
      </c>
      <c r="U9" s="32">
        <f>U7*'1_Hypotheses'!$C$12</f>
        <v/>
      </c>
      <c r="V9" s="32">
        <f>V7*'1_Hypotheses'!$C$12</f>
        <v/>
      </c>
      <c r="W9" s="32">
        <f>W7*'1_Hypotheses'!$C$12</f>
        <v/>
      </c>
      <c r="X9" s="32">
        <f>X7*'1_Hypotheses'!$C$12</f>
        <v/>
      </c>
      <c r="Y9" s="32">
        <f>Y7*'1_Hypotheses'!$C$12</f>
        <v/>
      </c>
      <c r="Z9" s="32">
        <f>Z7*'1_Hypotheses'!$C$12</f>
        <v/>
      </c>
    </row>
    <row r="10">
      <c r="A10" s="41" t="inlineStr">
        <is>
          <t>Utilisateurs sans ligne active détectés</t>
        </is>
      </c>
      <c r="B10" s="42">
        <f>SUM(C10:Z10)</f>
        <v/>
      </c>
      <c r="C10" s="43">
        <f>C7*'1_Hypotheses'!$C$20</f>
        <v/>
      </c>
      <c r="D10" s="43">
        <f>D7*'1_Hypotheses'!$C$20</f>
        <v/>
      </c>
      <c r="E10" s="43">
        <f>E7*'1_Hypotheses'!$C$20</f>
        <v/>
      </c>
      <c r="F10" s="43">
        <f>F7*'1_Hypotheses'!$C$20</f>
        <v/>
      </c>
      <c r="G10" s="43">
        <f>G7*'1_Hypotheses'!$C$20</f>
        <v/>
      </c>
      <c r="H10" s="43">
        <f>H7*'1_Hypotheses'!$C$20</f>
        <v/>
      </c>
      <c r="I10" s="43">
        <f>I7*'1_Hypotheses'!$C$20</f>
        <v/>
      </c>
      <c r="J10" s="43">
        <f>J7*'1_Hypotheses'!$C$20</f>
        <v/>
      </c>
      <c r="K10" s="43">
        <f>K7*'1_Hypotheses'!$C$20</f>
        <v/>
      </c>
      <c r="L10" s="43">
        <f>L7*'1_Hypotheses'!$C$20</f>
        <v/>
      </c>
      <c r="M10" s="43">
        <f>M7*'1_Hypotheses'!$C$20</f>
        <v/>
      </c>
      <c r="N10" s="43">
        <f>N7*'1_Hypotheses'!$C$20</f>
        <v/>
      </c>
      <c r="O10" s="43">
        <f>O7*'1_Hypotheses'!$C$20</f>
        <v/>
      </c>
      <c r="P10" s="43">
        <f>P7*'1_Hypotheses'!$C$20</f>
        <v/>
      </c>
      <c r="Q10" s="43">
        <f>Q7*'1_Hypotheses'!$C$20</f>
        <v/>
      </c>
      <c r="R10" s="43">
        <f>R7*'1_Hypotheses'!$C$20</f>
        <v/>
      </c>
      <c r="S10" s="43">
        <f>S7*'1_Hypotheses'!$C$20</f>
        <v/>
      </c>
      <c r="T10" s="43">
        <f>T7*'1_Hypotheses'!$C$20</f>
        <v/>
      </c>
      <c r="U10" s="43">
        <f>U7*'1_Hypotheses'!$C$20</f>
        <v/>
      </c>
      <c r="V10" s="43">
        <f>V7*'1_Hypotheses'!$C$20</f>
        <v/>
      </c>
      <c r="W10" s="43">
        <f>W7*'1_Hypotheses'!$C$20</f>
        <v/>
      </c>
      <c r="X10" s="43">
        <f>X7*'1_Hypotheses'!$C$20</f>
        <v/>
      </c>
      <c r="Y10" s="43">
        <f>Y7*'1_Hypotheses'!$C$20</f>
        <v/>
      </c>
      <c r="Z10" s="43">
        <f>Z7*'1_Hypotheses'!$C$20</f>
        <v/>
      </c>
    </row>
    <row r="11">
      <c r="A11" s="4" t="inlineStr">
        <is>
          <t>APPORTS D'AFFAIRES - CONSTITUTION DES STOCKS</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41" t="inlineStr">
        <is>
          <t>Nouveaux clients Helia PRO apportés</t>
        </is>
      </c>
      <c r="B12" s="44">
        <f>SUM(C12:Z12)</f>
        <v/>
      </c>
      <c r="C12" s="32">
        <f>IF(1&gt;='1_Hypotheses'!$C$18,C9*'1_Hypotheses'!$C$13*'1_Hypotheses'!$C$14,0)</f>
        <v/>
      </c>
      <c r="D12" s="32">
        <f>IF(2&gt;='1_Hypotheses'!$C$18,D9*'1_Hypotheses'!$C$13*'1_Hypotheses'!$C$14,0)</f>
        <v/>
      </c>
      <c r="E12" s="32">
        <f>IF(3&gt;='1_Hypotheses'!$C$18,E9*'1_Hypotheses'!$C$13*'1_Hypotheses'!$C$14,0)</f>
        <v/>
      </c>
      <c r="F12" s="32">
        <f>IF(4&gt;='1_Hypotheses'!$C$18,F9*'1_Hypotheses'!$C$13*'1_Hypotheses'!$C$14,0)</f>
        <v/>
      </c>
      <c r="G12" s="32">
        <f>IF(5&gt;='1_Hypotheses'!$C$18,G9*'1_Hypotheses'!$C$13*'1_Hypotheses'!$C$14,0)</f>
        <v/>
      </c>
      <c r="H12" s="32">
        <f>IF(6&gt;='1_Hypotheses'!$C$18,H9*'1_Hypotheses'!$C$13*'1_Hypotheses'!$C$14,0)</f>
        <v/>
      </c>
      <c r="I12" s="32">
        <f>IF(7&gt;='1_Hypotheses'!$C$18,I9*'1_Hypotheses'!$C$13*'1_Hypotheses'!$C$14,0)</f>
        <v/>
      </c>
      <c r="J12" s="32">
        <f>IF(8&gt;='1_Hypotheses'!$C$18,J9*'1_Hypotheses'!$C$13*'1_Hypotheses'!$C$14,0)</f>
        <v/>
      </c>
      <c r="K12" s="32">
        <f>IF(9&gt;='1_Hypotheses'!$C$18,K9*'1_Hypotheses'!$C$13*'1_Hypotheses'!$C$14,0)</f>
        <v/>
      </c>
      <c r="L12" s="32">
        <f>IF(10&gt;='1_Hypotheses'!$C$18,L9*'1_Hypotheses'!$C$13*'1_Hypotheses'!$C$14,0)</f>
        <v/>
      </c>
      <c r="M12" s="32">
        <f>IF(11&gt;='1_Hypotheses'!$C$18,M9*'1_Hypotheses'!$C$13*'1_Hypotheses'!$C$14,0)</f>
        <v/>
      </c>
      <c r="N12" s="32">
        <f>IF(12&gt;='1_Hypotheses'!$C$18,N9*'1_Hypotheses'!$C$13*'1_Hypotheses'!$C$14,0)</f>
        <v/>
      </c>
      <c r="O12" s="32">
        <f>IF(13&gt;='1_Hypotheses'!$C$18,O9*'1_Hypotheses'!$C$13*'1_Hypotheses'!$C$14,0)</f>
        <v/>
      </c>
      <c r="P12" s="32">
        <f>IF(14&gt;='1_Hypotheses'!$C$18,P9*'1_Hypotheses'!$C$13*'1_Hypotheses'!$C$14,0)</f>
        <v/>
      </c>
      <c r="Q12" s="32">
        <f>IF(15&gt;='1_Hypotheses'!$C$18,Q9*'1_Hypotheses'!$C$13*'1_Hypotheses'!$C$14,0)</f>
        <v/>
      </c>
      <c r="R12" s="32">
        <f>IF(16&gt;='1_Hypotheses'!$C$18,R9*'1_Hypotheses'!$C$13*'1_Hypotheses'!$C$14,0)</f>
        <v/>
      </c>
      <c r="S12" s="32">
        <f>IF(17&gt;='1_Hypotheses'!$C$18,S9*'1_Hypotheses'!$C$13*'1_Hypotheses'!$C$14,0)</f>
        <v/>
      </c>
      <c r="T12" s="32">
        <f>IF(18&gt;='1_Hypotheses'!$C$18,T9*'1_Hypotheses'!$C$13*'1_Hypotheses'!$C$14,0)</f>
        <v/>
      </c>
      <c r="U12" s="32">
        <f>IF(19&gt;='1_Hypotheses'!$C$18,U9*'1_Hypotheses'!$C$13*'1_Hypotheses'!$C$14,0)</f>
        <v/>
      </c>
      <c r="V12" s="32">
        <f>IF(20&gt;='1_Hypotheses'!$C$18,V9*'1_Hypotheses'!$C$13*'1_Hypotheses'!$C$14,0)</f>
        <v/>
      </c>
      <c r="W12" s="32">
        <f>IF(21&gt;='1_Hypotheses'!$C$18,W9*'1_Hypotheses'!$C$13*'1_Hypotheses'!$C$14,0)</f>
        <v/>
      </c>
      <c r="X12" s="32">
        <f>IF(22&gt;='1_Hypotheses'!$C$18,X9*'1_Hypotheses'!$C$13*'1_Hypotheses'!$C$14,0)</f>
        <v/>
      </c>
      <c r="Y12" s="32">
        <f>IF(23&gt;='1_Hypotheses'!$C$18,Y9*'1_Hypotheses'!$C$13*'1_Hypotheses'!$C$14,0)</f>
        <v/>
      </c>
      <c r="Z12" s="32">
        <f>IF(24&gt;='1_Hypotheses'!$C$18,Z9*'1_Hypotheses'!$C$13*'1_Hypotheses'!$C$14,0)</f>
        <v/>
      </c>
    </row>
    <row r="13">
      <c r="A13" s="41" t="inlineStr">
        <is>
          <t>Stock de clients Helia PRO apportés</t>
        </is>
      </c>
      <c r="B13" s="44">
        <f>Z13</f>
        <v/>
      </c>
      <c r="C13" s="32">
        <f>C12</f>
        <v/>
      </c>
      <c r="D13" s="32">
        <f>C13*(1-'1_Hypotheses'!$C$17)+D12</f>
        <v/>
      </c>
      <c r="E13" s="32">
        <f>D13*(1-'1_Hypotheses'!$C$17)+E12</f>
        <v/>
      </c>
      <c r="F13" s="32">
        <f>E13*(1-'1_Hypotheses'!$C$17)+F12</f>
        <v/>
      </c>
      <c r="G13" s="32">
        <f>F13*(1-'1_Hypotheses'!$C$17)+G12</f>
        <v/>
      </c>
      <c r="H13" s="32">
        <f>G13*(1-'1_Hypotheses'!$C$17)+H12</f>
        <v/>
      </c>
      <c r="I13" s="32">
        <f>H13*(1-'1_Hypotheses'!$C$17)+I12</f>
        <v/>
      </c>
      <c r="J13" s="32">
        <f>I13*(1-'1_Hypotheses'!$C$17)+J12</f>
        <v/>
      </c>
      <c r="K13" s="32">
        <f>J13*(1-'1_Hypotheses'!$C$17)+K12</f>
        <v/>
      </c>
      <c r="L13" s="32">
        <f>K13*(1-'1_Hypotheses'!$C$17)+L12</f>
        <v/>
      </c>
      <c r="M13" s="32">
        <f>L13*(1-'1_Hypotheses'!$C$17)+M12</f>
        <v/>
      </c>
      <c r="N13" s="32">
        <f>M13*(1-'1_Hypotheses'!$C$17)+N12</f>
        <v/>
      </c>
      <c r="O13" s="32">
        <f>N13*(1-'1_Hypotheses'!$C$17)+O12</f>
        <v/>
      </c>
      <c r="P13" s="32">
        <f>O13*(1-'1_Hypotheses'!$C$17)+P12</f>
        <v/>
      </c>
      <c r="Q13" s="32">
        <f>P13*(1-'1_Hypotheses'!$C$17)+Q12</f>
        <v/>
      </c>
      <c r="R13" s="32">
        <f>Q13*(1-'1_Hypotheses'!$C$17)+R12</f>
        <v/>
      </c>
      <c r="S13" s="32">
        <f>R13*(1-'1_Hypotheses'!$C$17)+S12</f>
        <v/>
      </c>
      <c r="T13" s="32">
        <f>S13*(1-'1_Hypotheses'!$C$17)+T12</f>
        <v/>
      </c>
      <c r="U13" s="32">
        <f>T13*(1-'1_Hypotheses'!$C$17)+U12</f>
        <v/>
      </c>
      <c r="V13" s="32">
        <f>U13*(1-'1_Hypotheses'!$C$17)+V12</f>
        <v/>
      </c>
      <c r="W13" s="32">
        <f>V13*(1-'1_Hypotheses'!$C$17)+W12</f>
        <v/>
      </c>
      <c r="X13" s="32">
        <f>W13*(1-'1_Hypotheses'!$C$17)+X12</f>
        <v/>
      </c>
      <c r="Y13" s="32">
        <f>X13*(1-'1_Hypotheses'!$C$17)+Y12</f>
        <v/>
      </c>
      <c r="Z13" s="32">
        <f>Y13*(1-'1_Hypotheses'!$C$17)+Z12</f>
        <v/>
      </c>
    </row>
    <row r="14">
      <c r="A14" s="41" t="inlineStr">
        <is>
          <t>Nouvelles lignes grand public activées</t>
        </is>
      </c>
      <c r="B14" s="44">
        <f>SUM(C14:Z14)</f>
        <v/>
      </c>
      <c r="C14" s="32">
        <f>IF(1&gt;='1_Hypotheses'!$C$26,C10*'1_Hypotheses'!$C$21*'1_Hypotheses'!$C$22,0)</f>
        <v/>
      </c>
      <c r="D14" s="32">
        <f>IF(2&gt;='1_Hypotheses'!$C$26,D10*'1_Hypotheses'!$C$21*'1_Hypotheses'!$C$22,0)</f>
        <v/>
      </c>
      <c r="E14" s="32">
        <f>IF(3&gt;='1_Hypotheses'!$C$26,E10*'1_Hypotheses'!$C$21*'1_Hypotheses'!$C$22,0)</f>
        <v/>
      </c>
      <c r="F14" s="32">
        <f>IF(4&gt;='1_Hypotheses'!$C$26,F10*'1_Hypotheses'!$C$21*'1_Hypotheses'!$C$22,0)</f>
        <v/>
      </c>
      <c r="G14" s="32">
        <f>IF(5&gt;='1_Hypotheses'!$C$26,G10*'1_Hypotheses'!$C$21*'1_Hypotheses'!$C$22,0)</f>
        <v/>
      </c>
      <c r="H14" s="32">
        <f>IF(6&gt;='1_Hypotheses'!$C$26,H10*'1_Hypotheses'!$C$21*'1_Hypotheses'!$C$22,0)</f>
        <v/>
      </c>
      <c r="I14" s="32">
        <f>IF(7&gt;='1_Hypotheses'!$C$26,I10*'1_Hypotheses'!$C$21*'1_Hypotheses'!$C$22,0)</f>
        <v/>
      </c>
      <c r="J14" s="32">
        <f>IF(8&gt;='1_Hypotheses'!$C$26,J10*'1_Hypotheses'!$C$21*'1_Hypotheses'!$C$22,0)</f>
        <v/>
      </c>
      <c r="K14" s="32">
        <f>IF(9&gt;='1_Hypotheses'!$C$26,K10*'1_Hypotheses'!$C$21*'1_Hypotheses'!$C$22,0)</f>
        <v/>
      </c>
      <c r="L14" s="32">
        <f>IF(10&gt;='1_Hypotheses'!$C$26,L10*'1_Hypotheses'!$C$21*'1_Hypotheses'!$C$22,0)</f>
        <v/>
      </c>
      <c r="M14" s="32">
        <f>IF(11&gt;='1_Hypotheses'!$C$26,M10*'1_Hypotheses'!$C$21*'1_Hypotheses'!$C$22,0)</f>
        <v/>
      </c>
      <c r="N14" s="32">
        <f>IF(12&gt;='1_Hypotheses'!$C$26,N10*'1_Hypotheses'!$C$21*'1_Hypotheses'!$C$22,0)</f>
        <v/>
      </c>
      <c r="O14" s="32">
        <f>IF(13&gt;='1_Hypotheses'!$C$26,O10*'1_Hypotheses'!$C$21*'1_Hypotheses'!$C$22,0)</f>
        <v/>
      </c>
      <c r="P14" s="32">
        <f>IF(14&gt;='1_Hypotheses'!$C$26,P10*'1_Hypotheses'!$C$21*'1_Hypotheses'!$C$22,0)</f>
        <v/>
      </c>
      <c r="Q14" s="32">
        <f>IF(15&gt;='1_Hypotheses'!$C$26,Q10*'1_Hypotheses'!$C$21*'1_Hypotheses'!$C$22,0)</f>
        <v/>
      </c>
      <c r="R14" s="32">
        <f>IF(16&gt;='1_Hypotheses'!$C$26,R10*'1_Hypotheses'!$C$21*'1_Hypotheses'!$C$22,0)</f>
        <v/>
      </c>
      <c r="S14" s="32">
        <f>IF(17&gt;='1_Hypotheses'!$C$26,S10*'1_Hypotheses'!$C$21*'1_Hypotheses'!$C$22,0)</f>
        <v/>
      </c>
      <c r="T14" s="32">
        <f>IF(18&gt;='1_Hypotheses'!$C$26,T10*'1_Hypotheses'!$C$21*'1_Hypotheses'!$C$22,0)</f>
        <v/>
      </c>
      <c r="U14" s="32">
        <f>IF(19&gt;='1_Hypotheses'!$C$26,U10*'1_Hypotheses'!$C$21*'1_Hypotheses'!$C$22,0)</f>
        <v/>
      </c>
      <c r="V14" s="32">
        <f>IF(20&gt;='1_Hypotheses'!$C$26,V10*'1_Hypotheses'!$C$21*'1_Hypotheses'!$C$22,0)</f>
        <v/>
      </c>
      <c r="W14" s="32">
        <f>IF(21&gt;='1_Hypotheses'!$C$26,W10*'1_Hypotheses'!$C$21*'1_Hypotheses'!$C$22,0)</f>
        <v/>
      </c>
      <c r="X14" s="32">
        <f>IF(22&gt;='1_Hypotheses'!$C$26,X10*'1_Hypotheses'!$C$21*'1_Hypotheses'!$C$22,0)</f>
        <v/>
      </c>
      <c r="Y14" s="32">
        <f>IF(23&gt;='1_Hypotheses'!$C$26,Y10*'1_Hypotheses'!$C$21*'1_Hypotheses'!$C$22,0)</f>
        <v/>
      </c>
      <c r="Z14" s="32">
        <f>IF(24&gt;='1_Hypotheses'!$C$26,Z10*'1_Hypotheses'!$C$21*'1_Hypotheses'!$C$22,0)</f>
        <v/>
      </c>
    </row>
    <row r="15">
      <c r="A15" s="41" t="inlineStr">
        <is>
          <t>Stock de lignes grand public apportées</t>
        </is>
      </c>
      <c r="B15" s="44">
        <f>Z15</f>
        <v/>
      </c>
      <c r="C15" s="32">
        <f>C14</f>
        <v/>
      </c>
      <c r="D15" s="32">
        <f>C15*(1-'1_Hypotheses'!$C$25)+D14</f>
        <v/>
      </c>
      <c r="E15" s="32">
        <f>D15*(1-'1_Hypotheses'!$C$25)+E14</f>
        <v/>
      </c>
      <c r="F15" s="32">
        <f>E15*(1-'1_Hypotheses'!$C$25)+F14</f>
        <v/>
      </c>
      <c r="G15" s="32">
        <f>F15*(1-'1_Hypotheses'!$C$25)+G14</f>
        <v/>
      </c>
      <c r="H15" s="32">
        <f>G15*(1-'1_Hypotheses'!$C$25)+H14</f>
        <v/>
      </c>
      <c r="I15" s="32">
        <f>H15*(1-'1_Hypotheses'!$C$25)+I14</f>
        <v/>
      </c>
      <c r="J15" s="32">
        <f>I15*(1-'1_Hypotheses'!$C$25)+J14</f>
        <v/>
      </c>
      <c r="K15" s="32">
        <f>J15*(1-'1_Hypotheses'!$C$25)+K14</f>
        <v/>
      </c>
      <c r="L15" s="32">
        <f>K15*(1-'1_Hypotheses'!$C$25)+L14</f>
        <v/>
      </c>
      <c r="M15" s="32">
        <f>L15*(1-'1_Hypotheses'!$C$25)+M14</f>
        <v/>
      </c>
      <c r="N15" s="32">
        <f>M15*(1-'1_Hypotheses'!$C$25)+N14</f>
        <v/>
      </c>
      <c r="O15" s="32">
        <f>N15*(1-'1_Hypotheses'!$C$25)+O14</f>
        <v/>
      </c>
      <c r="P15" s="32">
        <f>O15*(1-'1_Hypotheses'!$C$25)+P14</f>
        <v/>
      </c>
      <c r="Q15" s="32">
        <f>P15*(1-'1_Hypotheses'!$C$25)+Q14</f>
        <v/>
      </c>
      <c r="R15" s="32">
        <f>Q15*(1-'1_Hypotheses'!$C$25)+R14</f>
        <v/>
      </c>
      <c r="S15" s="32">
        <f>R15*(1-'1_Hypotheses'!$C$25)+S14</f>
        <v/>
      </c>
      <c r="T15" s="32">
        <f>S15*(1-'1_Hypotheses'!$C$25)+T14</f>
        <v/>
      </c>
      <c r="U15" s="32">
        <f>T15*(1-'1_Hypotheses'!$C$25)+U14</f>
        <v/>
      </c>
      <c r="V15" s="32">
        <f>U15*(1-'1_Hypotheses'!$C$25)+V14</f>
        <v/>
      </c>
      <c r="W15" s="32">
        <f>V15*(1-'1_Hypotheses'!$C$25)+W14</f>
        <v/>
      </c>
      <c r="X15" s="32">
        <f>W15*(1-'1_Hypotheses'!$C$25)+X14</f>
        <v/>
      </c>
      <c r="Y15" s="32">
        <f>X15*(1-'1_Hypotheses'!$C$25)+Y14</f>
        <v/>
      </c>
      <c r="Z15" s="32">
        <f>Y15*(1-'1_Hypotheses'!$C$25)+Z14</f>
        <v/>
      </c>
    </row>
    <row r="16">
      <c r="A16" s="4" t="inlineStr">
        <is>
          <t>CHIFFRE D'AFFAIRES / VALEUR CREEE</t>
        </is>
      </c>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41" t="inlineStr">
        <is>
          <t>Apport d'affaires B2B - Helia PRO</t>
        </is>
      </c>
      <c r="B17" s="22">
        <f>SUM(C17:Z17)</f>
        <v/>
      </c>
      <c r="C17" s="35">
        <f>C13*'1_Hypotheses'!$C$15/12*'1_Hypotheses'!$C$16</f>
        <v/>
      </c>
      <c r="D17" s="35">
        <f>D13*'1_Hypotheses'!$C$15/12*'1_Hypotheses'!$C$16</f>
        <v/>
      </c>
      <c r="E17" s="35">
        <f>E13*'1_Hypotheses'!$C$15/12*'1_Hypotheses'!$C$16</f>
        <v/>
      </c>
      <c r="F17" s="35">
        <f>F13*'1_Hypotheses'!$C$15/12*'1_Hypotheses'!$C$16</f>
        <v/>
      </c>
      <c r="G17" s="35">
        <f>G13*'1_Hypotheses'!$C$15/12*'1_Hypotheses'!$C$16</f>
        <v/>
      </c>
      <c r="H17" s="35">
        <f>H13*'1_Hypotheses'!$C$15/12*'1_Hypotheses'!$C$16</f>
        <v/>
      </c>
      <c r="I17" s="35">
        <f>I13*'1_Hypotheses'!$C$15/12*'1_Hypotheses'!$C$16</f>
        <v/>
      </c>
      <c r="J17" s="35">
        <f>J13*'1_Hypotheses'!$C$15/12*'1_Hypotheses'!$C$16</f>
        <v/>
      </c>
      <c r="K17" s="35">
        <f>K13*'1_Hypotheses'!$C$15/12*'1_Hypotheses'!$C$16</f>
        <v/>
      </c>
      <c r="L17" s="35">
        <f>L13*'1_Hypotheses'!$C$15/12*'1_Hypotheses'!$C$16</f>
        <v/>
      </c>
      <c r="M17" s="35">
        <f>M13*'1_Hypotheses'!$C$15/12*'1_Hypotheses'!$C$16</f>
        <v/>
      </c>
      <c r="N17" s="35">
        <f>N13*'1_Hypotheses'!$C$15/12*'1_Hypotheses'!$C$16</f>
        <v/>
      </c>
      <c r="O17" s="35">
        <f>O13*'1_Hypotheses'!$C$15/12*'1_Hypotheses'!$C$16</f>
        <v/>
      </c>
      <c r="P17" s="35">
        <f>P13*'1_Hypotheses'!$C$15/12*'1_Hypotheses'!$C$16</f>
        <v/>
      </c>
      <c r="Q17" s="35">
        <f>Q13*'1_Hypotheses'!$C$15/12*'1_Hypotheses'!$C$16</f>
        <v/>
      </c>
      <c r="R17" s="35">
        <f>R13*'1_Hypotheses'!$C$15/12*'1_Hypotheses'!$C$16</f>
        <v/>
      </c>
      <c r="S17" s="35">
        <f>S13*'1_Hypotheses'!$C$15/12*'1_Hypotheses'!$C$16</f>
        <v/>
      </c>
      <c r="T17" s="35">
        <f>T13*'1_Hypotheses'!$C$15/12*'1_Hypotheses'!$C$16</f>
        <v/>
      </c>
      <c r="U17" s="35">
        <f>U13*'1_Hypotheses'!$C$15/12*'1_Hypotheses'!$C$16</f>
        <v/>
      </c>
      <c r="V17" s="35">
        <f>V13*'1_Hypotheses'!$C$15/12*'1_Hypotheses'!$C$16</f>
        <v/>
      </c>
      <c r="W17" s="35">
        <f>W13*'1_Hypotheses'!$C$15/12*'1_Hypotheses'!$C$16</f>
        <v/>
      </c>
      <c r="X17" s="35">
        <f>X13*'1_Hypotheses'!$C$15/12*'1_Hypotheses'!$C$16</f>
        <v/>
      </c>
      <c r="Y17" s="35">
        <f>Y13*'1_Hypotheses'!$C$15/12*'1_Hypotheses'!$C$16</f>
        <v/>
      </c>
      <c r="Z17" s="35">
        <f>Z13*'1_Hypotheses'!$C$15/12*'1_Hypotheses'!$C$16</f>
        <v/>
      </c>
    </row>
    <row r="18">
      <c r="A18" s="41" t="inlineStr">
        <is>
          <t>Apport d'affaires B2C - activation de lignes</t>
        </is>
      </c>
      <c r="B18" s="22">
        <f>SUM(C18:Z18)</f>
        <v/>
      </c>
      <c r="C18" s="35">
        <f>C15*'1_Hypotheses'!$C$23/12*'1_Hypotheses'!$C$24</f>
        <v/>
      </c>
      <c r="D18" s="35">
        <f>D15*'1_Hypotheses'!$C$23/12*'1_Hypotheses'!$C$24</f>
        <v/>
      </c>
      <c r="E18" s="35">
        <f>E15*'1_Hypotheses'!$C$23/12*'1_Hypotheses'!$C$24</f>
        <v/>
      </c>
      <c r="F18" s="35">
        <f>F15*'1_Hypotheses'!$C$23/12*'1_Hypotheses'!$C$24</f>
        <v/>
      </c>
      <c r="G18" s="35">
        <f>G15*'1_Hypotheses'!$C$23/12*'1_Hypotheses'!$C$24</f>
        <v/>
      </c>
      <c r="H18" s="35">
        <f>H15*'1_Hypotheses'!$C$23/12*'1_Hypotheses'!$C$24</f>
        <v/>
      </c>
      <c r="I18" s="35">
        <f>I15*'1_Hypotheses'!$C$23/12*'1_Hypotheses'!$C$24</f>
        <v/>
      </c>
      <c r="J18" s="35">
        <f>J15*'1_Hypotheses'!$C$23/12*'1_Hypotheses'!$C$24</f>
        <v/>
      </c>
      <c r="K18" s="35">
        <f>K15*'1_Hypotheses'!$C$23/12*'1_Hypotheses'!$C$24</f>
        <v/>
      </c>
      <c r="L18" s="35">
        <f>L15*'1_Hypotheses'!$C$23/12*'1_Hypotheses'!$C$24</f>
        <v/>
      </c>
      <c r="M18" s="35">
        <f>M15*'1_Hypotheses'!$C$23/12*'1_Hypotheses'!$C$24</f>
        <v/>
      </c>
      <c r="N18" s="35">
        <f>N15*'1_Hypotheses'!$C$23/12*'1_Hypotheses'!$C$24</f>
        <v/>
      </c>
      <c r="O18" s="35">
        <f>O15*'1_Hypotheses'!$C$23/12*'1_Hypotheses'!$C$24</f>
        <v/>
      </c>
      <c r="P18" s="35">
        <f>P15*'1_Hypotheses'!$C$23/12*'1_Hypotheses'!$C$24</f>
        <v/>
      </c>
      <c r="Q18" s="35">
        <f>Q15*'1_Hypotheses'!$C$23/12*'1_Hypotheses'!$C$24</f>
        <v/>
      </c>
      <c r="R18" s="35">
        <f>R15*'1_Hypotheses'!$C$23/12*'1_Hypotheses'!$C$24</f>
        <v/>
      </c>
      <c r="S18" s="35">
        <f>S15*'1_Hypotheses'!$C$23/12*'1_Hypotheses'!$C$24</f>
        <v/>
      </c>
      <c r="T18" s="35">
        <f>T15*'1_Hypotheses'!$C$23/12*'1_Hypotheses'!$C$24</f>
        <v/>
      </c>
      <c r="U18" s="35">
        <f>U15*'1_Hypotheses'!$C$23/12*'1_Hypotheses'!$C$24</f>
        <v/>
      </c>
      <c r="V18" s="35">
        <f>V15*'1_Hypotheses'!$C$23/12*'1_Hypotheses'!$C$24</f>
        <v/>
      </c>
      <c r="W18" s="35">
        <f>W15*'1_Hypotheses'!$C$23/12*'1_Hypotheses'!$C$24</f>
        <v/>
      </c>
      <c r="X18" s="35">
        <f>X15*'1_Hypotheses'!$C$23/12*'1_Hypotheses'!$C$24</f>
        <v/>
      </c>
      <c r="Y18" s="35">
        <f>Y15*'1_Hypotheses'!$C$23/12*'1_Hypotheses'!$C$24</f>
        <v/>
      </c>
      <c r="Z18" s="35">
        <f>Z15*'1_Hypotheses'!$C$23/12*'1_Hypotheses'!$C$24</f>
        <v/>
      </c>
    </row>
    <row r="19">
      <c r="A19" s="41" t="inlineStr">
        <is>
          <t>Sponsoring consenti</t>
        </is>
      </c>
      <c r="B19" s="22">
        <f>SUM(C19:Z19)</f>
        <v/>
      </c>
      <c r="C19" s="35">
        <f>IF(1&lt;'1_Hypotheses'!$C$29,0,'1_Hypotheses'!$C$28*MIN(1,(1-'1_Hypotheses'!$C$29+1)/'1_Hypotheses'!$C$30))</f>
        <v/>
      </c>
      <c r="D19" s="35">
        <f>IF(2&lt;'1_Hypotheses'!$C$29,0,'1_Hypotheses'!$C$28*MIN(1,(2-'1_Hypotheses'!$C$29+1)/'1_Hypotheses'!$C$30))</f>
        <v/>
      </c>
      <c r="E19" s="35">
        <f>IF(3&lt;'1_Hypotheses'!$C$29,0,'1_Hypotheses'!$C$28*MIN(1,(3-'1_Hypotheses'!$C$29+1)/'1_Hypotheses'!$C$30))</f>
        <v/>
      </c>
      <c r="F19" s="35">
        <f>IF(4&lt;'1_Hypotheses'!$C$29,0,'1_Hypotheses'!$C$28*MIN(1,(4-'1_Hypotheses'!$C$29+1)/'1_Hypotheses'!$C$30))</f>
        <v/>
      </c>
      <c r="G19" s="35">
        <f>IF(5&lt;'1_Hypotheses'!$C$29,0,'1_Hypotheses'!$C$28*MIN(1,(5-'1_Hypotheses'!$C$29+1)/'1_Hypotheses'!$C$30))</f>
        <v/>
      </c>
      <c r="H19" s="35">
        <f>IF(6&lt;'1_Hypotheses'!$C$29,0,'1_Hypotheses'!$C$28*MIN(1,(6-'1_Hypotheses'!$C$29+1)/'1_Hypotheses'!$C$30))</f>
        <v/>
      </c>
      <c r="I19" s="35">
        <f>IF(7&lt;'1_Hypotheses'!$C$29,0,'1_Hypotheses'!$C$28*MIN(1,(7-'1_Hypotheses'!$C$29+1)/'1_Hypotheses'!$C$30))</f>
        <v/>
      </c>
      <c r="J19" s="35">
        <f>IF(8&lt;'1_Hypotheses'!$C$29,0,'1_Hypotheses'!$C$28*MIN(1,(8-'1_Hypotheses'!$C$29+1)/'1_Hypotheses'!$C$30))</f>
        <v/>
      </c>
      <c r="K19" s="35">
        <f>IF(9&lt;'1_Hypotheses'!$C$29,0,'1_Hypotheses'!$C$28*MIN(1,(9-'1_Hypotheses'!$C$29+1)/'1_Hypotheses'!$C$30))</f>
        <v/>
      </c>
      <c r="L19" s="35">
        <f>IF(10&lt;'1_Hypotheses'!$C$29,0,'1_Hypotheses'!$C$28*MIN(1,(10-'1_Hypotheses'!$C$29+1)/'1_Hypotheses'!$C$30))</f>
        <v/>
      </c>
      <c r="M19" s="35">
        <f>IF(11&lt;'1_Hypotheses'!$C$29,0,'1_Hypotheses'!$C$28*MIN(1,(11-'1_Hypotheses'!$C$29+1)/'1_Hypotheses'!$C$30))</f>
        <v/>
      </c>
      <c r="N19" s="35">
        <f>IF(12&lt;'1_Hypotheses'!$C$29,0,'1_Hypotheses'!$C$28*MIN(1,(12-'1_Hypotheses'!$C$29+1)/'1_Hypotheses'!$C$30))</f>
        <v/>
      </c>
      <c r="O19" s="35">
        <f>IF(13&lt;'1_Hypotheses'!$C$29,0,'1_Hypotheses'!$C$28*MIN(1,(13-'1_Hypotheses'!$C$29+1)/'1_Hypotheses'!$C$30))</f>
        <v/>
      </c>
      <c r="P19" s="35">
        <f>IF(14&lt;'1_Hypotheses'!$C$29,0,'1_Hypotheses'!$C$28*MIN(1,(14-'1_Hypotheses'!$C$29+1)/'1_Hypotheses'!$C$30))</f>
        <v/>
      </c>
      <c r="Q19" s="35">
        <f>IF(15&lt;'1_Hypotheses'!$C$29,0,'1_Hypotheses'!$C$28*MIN(1,(15-'1_Hypotheses'!$C$29+1)/'1_Hypotheses'!$C$30))</f>
        <v/>
      </c>
      <c r="R19" s="35">
        <f>IF(16&lt;'1_Hypotheses'!$C$29,0,'1_Hypotheses'!$C$28*MIN(1,(16-'1_Hypotheses'!$C$29+1)/'1_Hypotheses'!$C$30))</f>
        <v/>
      </c>
      <c r="S19" s="35">
        <f>IF(17&lt;'1_Hypotheses'!$C$29,0,'1_Hypotheses'!$C$28*MIN(1,(17-'1_Hypotheses'!$C$29+1)/'1_Hypotheses'!$C$30))</f>
        <v/>
      </c>
      <c r="T19" s="35">
        <f>IF(18&lt;'1_Hypotheses'!$C$29,0,'1_Hypotheses'!$C$28*MIN(1,(18-'1_Hypotheses'!$C$29+1)/'1_Hypotheses'!$C$30))</f>
        <v/>
      </c>
      <c r="U19" s="35">
        <f>IF(19&lt;'1_Hypotheses'!$C$29,0,'1_Hypotheses'!$C$28*MIN(1,(19-'1_Hypotheses'!$C$29+1)/'1_Hypotheses'!$C$30))</f>
        <v/>
      </c>
      <c r="V19" s="35">
        <f>IF(20&lt;'1_Hypotheses'!$C$29,0,'1_Hypotheses'!$C$28*MIN(1,(20-'1_Hypotheses'!$C$29+1)/'1_Hypotheses'!$C$30))</f>
        <v/>
      </c>
      <c r="W19" s="35">
        <f>IF(21&lt;'1_Hypotheses'!$C$29,0,'1_Hypotheses'!$C$28*MIN(1,(21-'1_Hypotheses'!$C$29+1)/'1_Hypotheses'!$C$30))</f>
        <v/>
      </c>
      <c r="X19" s="35">
        <f>IF(22&lt;'1_Hypotheses'!$C$29,0,'1_Hypotheses'!$C$28*MIN(1,(22-'1_Hypotheses'!$C$29+1)/'1_Hypotheses'!$C$30))</f>
        <v/>
      </c>
      <c r="Y19" s="35">
        <f>IF(23&lt;'1_Hypotheses'!$C$29,0,'1_Hypotheses'!$C$28*MIN(1,(23-'1_Hypotheses'!$C$29+1)/'1_Hypotheses'!$C$30))</f>
        <v/>
      </c>
      <c r="Z19" s="35">
        <f>IF(24&lt;'1_Hypotheses'!$C$29,0,'1_Hypotheses'!$C$28*MIN(1,(24-'1_Hypotheses'!$C$29+1)/'1_Hypotheses'!$C$30))</f>
        <v/>
      </c>
    </row>
    <row r="20">
      <c r="A20" s="45" t="inlineStr">
        <is>
          <t>CHIFFRE D'AFFAIRES TOTAL</t>
        </is>
      </c>
      <c r="B20" s="22">
        <f>SUM(C20:Z20)</f>
        <v/>
      </c>
      <c r="C20" s="22">
        <f>SUM(C17:C19)</f>
        <v/>
      </c>
      <c r="D20" s="22">
        <f>SUM(D17:D19)</f>
        <v/>
      </c>
      <c r="E20" s="22">
        <f>SUM(E17:E19)</f>
        <v/>
      </c>
      <c r="F20" s="22">
        <f>SUM(F17:F19)</f>
        <v/>
      </c>
      <c r="G20" s="22">
        <f>SUM(G17:G19)</f>
        <v/>
      </c>
      <c r="H20" s="22">
        <f>SUM(H17:H19)</f>
        <v/>
      </c>
      <c r="I20" s="22">
        <f>SUM(I17:I19)</f>
        <v/>
      </c>
      <c r="J20" s="22">
        <f>SUM(J17:J19)</f>
        <v/>
      </c>
      <c r="K20" s="22">
        <f>SUM(K17:K19)</f>
        <v/>
      </c>
      <c r="L20" s="22">
        <f>SUM(L17:L19)</f>
        <v/>
      </c>
      <c r="M20" s="22">
        <f>SUM(M17:M19)</f>
        <v/>
      </c>
      <c r="N20" s="22">
        <f>SUM(N17:N19)</f>
        <v/>
      </c>
      <c r="O20" s="22">
        <f>SUM(O17:O19)</f>
        <v/>
      </c>
      <c r="P20" s="22">
        <f>SUM(P17:P19)</f>
        <v/>
      </c>
      <c r="Q20" s="22">
        <f>SUM(Q17:Q19)</f>
        <v/>
      </c>
      <c r="R20" s="22">
        <f>SUM(R17:R19)</f>
        <v/>
      </c>
      <c r="S20" s="22">
        <f>SUM(S17:S19)</f>
        <v/>
      </c>
      <c r="T20" s="22">
        <f>SUM(T17:T19)</f>
        <v/>
      </c>
      <c r="U20" s="22">
        <f>SUM(U17:U19)</f>
        <v/>
      </c>
      <c r="V20" s="22">
        <f>SUM(V17:V19)</f>
        <v/>
      </c>
      <c r="W20" s="22">
        <f>SUM(W17:W19)</f>
        <v/>
      </c>
      <c r="X20" s="22">
        <f>SUM(X17:X19)</f>
        <v/>
      </c>
      <c r="Y20" s="22">
        <f>SUM(Y17:Y19)</f>
        <v/>
      </c>
      <c r="Z20" s="22">
        <f>SUM(Z17:Z19)</f>
        <v/>
      </c>
    </row>
    <row r="21">
      <c r="A21" s="4" t="inlineStr">
        <is>
          <t>COUTS VARIABLES ET REVERSEMENTS</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41" t="inlineStr">
        <is>
          <t>Acheminement des SMS gratuits</t>
        </is>
      </c>
      <c r="B22" s="22">
        <f>SUM(C22:Z22)</f>
        <v/>
      </c>
      <c r="C22" s="35">
        <f>-C8*'1_Hypotheses'!$C$33</f>
        <v/>
      </c>
      <c r="D22" s="35">
        <f>-D8*'1_Hypotheses'!$C$33</f>
        <v/>
      </c>
      <c r="E22" s="35">
        <f>-E8*'1_Hypotheses'!$C$33</f>
        <v/>
      </c>
      <c r="F22" s="35">
        <f>-F8*'1_Hypotheses'!$C$33</f>
        <v/>
      </c>
      <c r="G22" s="35">
        <f>-G8*'1_Hypotheses'!$C$33</f>
        <v/>
      </c>
      <c r="H22" s="35">
        <f>-H8*'1_Hypotheses'!$C$33</f>
        <v/>
      </c>
      <c r="I22" s="35">
        <f>-I8*'1_Hypotheses'!$C$33</f>
        <v/>
      </c>
      <c r="J22" s="35">
        <f>-J8*'1_Hypotheses'!$C$33</f>
        <v/>
      </c>
      <c r="K22" s="35">
        <f>-K8*'1_Hypotheses'!$C$33</f>
        <v/>
      </c>
      <c r="L22" s="35">
        <f>-L8*'1_Hypotheses'!$C$33</f>
        <v/>
      </c>
      <c r="M22" s="35">
        <f>-M8*'1_Hypotheses'!$C$33</f>
        <v/>
      </c>
      <c r="N22" s="35">
        <f>-N8*'1_Hypotheses'!$C$33</f>
        <v/>
      </c>
      <c r="O22" s="35">
        <f>-O8*'1_Hypotheses'!$C$33</f>
        <v/>
      </c>
      <c r="P22" s="35">
        <f>-P8*'1_Hypotheses'!$C$33</f>
        <v/>
      </c>
      <c r="Q22" s="35">
        <f>-Q8*'1_Hypotheses'!$C$33</f>
        <v/>
      </c>
      <c r="R22" s="35">
        <f>-R8*'1_Hypotheses'!$C$33</f>
        <v/>
      </c>
      <c r="S22" s="35">
        <f>-S8*'1_Hypotheses'!$C$33</f>
        <v/>
      </c>
      <c r="T22" s="35">
        <f>-T8*'1_Hypotheses'!$C$33</f>
        <v/>
      </c>
      <c r="U22" s="35">
        <f>-U8*'1_Hypotheses'!$C$33</f>
        <v/>
      </c>
      <c r="V22" s="35">
        <f>-V8*'1_Hypotheses'!$C$33</f>
        <v/>
      </c>
      <c r="W22" s="35">
        <f>-W8*'1_Hypotheses'!$C$33</f>
        <v/>
      </c>
      <c r="X22" s="35">
        <f>-X8*'1_Hypotheses'!$C$33</f>
        <v/>
      </c>
      <c r="Y22" s="35">
        <f>-Y8*'1_Hypotheses'!$C$33</f>
        <v/>
      </c>
      <c r="Z22" s="35">
        <f>-Z8*'1_Hypotheses'!$C$33</f>
        <v/>
      </c>
    </row>
    <row r="23">
      <c r="A23" s="41" t="inlineStr">
        <is>
          <t>Infrastructure variable</t>
        </is>
      </c>
      <c r="B23" s="22">
        <f>SUM(C23:Z23)</f>
        <v/>
      </c>
      <c r="C23" s="35">
        <f>-C7*'1_Hypotheses'!$C$34</f>
        <v/>
      </c>
      <c r="D23" s="35">
        <f>-D7*'1_Hypotheses'!$C$34</f>
        <v/>
      </c>
      <c r="E23" s="35">
        <f>-E7*'1_Hypotheses'!$C$34</f>
        <v/>
      </c>
      <c r="F23" s="35">
        <f>-F7*'1_Hypotheses'!$C$34</f>
        <v/>
      </c>
      <c r="G23" s="35">
        <f>-G7*'1_Hypotheses'!$C$34</f>
        <v/>
      </c>
      <c r="H23" s="35">
        <f>-H7*'1_Hypotheses'!$C$34</f>
        <v/>
      </c>
      <c r="I23" s="35">
        <f>-I7*'1_Hypotheses'!$C$34</f>
        <v/>
      </c>
      <c r="J23" s="35">
        <f>-J7*'1_Hypotheses'!$C$34</f>
        <v/>
      </c>
      <c r="K23" s="35">
        <f>-K7*'1_Hypotheses'!$C$34</f>
        <v/>
      </c>
      <c r="L23" s="35">
        <f>-L7*'1_Hypotheses'!$C$34</f>
        <v/>
      </c>
      <c r="M23" s="35">
        <f>-M7*'1_Hypotheses'!$C$34</f>
        <v/>
      </c>
      <c r="N23" s="35">
        <f>-N7*'1_Hypotheses'!$C$34</f>
        <v/>
      </c>
      <c r="O23" s="35">
        <f>-O7*'1_Hypotheses'!$C$34</f>
        <v/>
      </c>
      <c r="P23" s="35">
        <f>-P7*'1_Hypotheses'!$C$34</f>
        <v/>
      </c>
      <c r="Q23" s="35">
        <f>-Q7*'1_Hypotheses'!$C$34</f>
        <v/>
      </c>
      <c r="R23" s="35">
        <f>-R7*'1_Hypotheses'!$C$34</f>
        <v/>
      </c>
      <c r="S23" s="35">
        <f>-S7*'1_Hypotheses'!$C$34</f>
        <v/>
      </c>
      <c r="T23" s="35">
        <f>-T7*'1_Hypotheses'!$C$34</f>
        <v/>
      </c>
      <c r="U23" s="35">
        <f>-U7*'1_Hypotheses'!$C$34</f>
        <v/>
      </c>
      <c r="V23" s="35">
        <f>-V7*'1_Hypotheses'!$C$34</f>
        <v/>
      </c>
      <c r="W23" s="35">
        <f>-W7*'1_Hypotheses'!$C$34</f>
        <v/>
      </c>
      <c r="X23" s="35">
        <f>-X7*'1_Hypotheses'!$C$34</f>
        <v/>
      </c>
      <c r="Y23" s="35">
        <f>-Y7*'1_Hypotheses'!$C$34</f>
        <v/>
      </c>
      <c r="Z23" s="35">
        <f>-Z7*'1_Hypotheses'!$C$34</f>
        <v/>
      </c>
    </row>
    <row r="24">
      <c r="A24" s="41" t="inlineStr">
        <is>
          <t>Reversement régie sponsoring</t>
        </is>
      </c>
      <c r="B24" s="22">
        <f>SUM(C24:Z24)</f>
        <v/>
      </c>
      <c r="C24" s="35">
        <f>-C19*'1_Hypotheses'!$C$31</f>
        <v/>
      </c>
      <c r="D24" s="35">
        <f>-D19*'1_Hypotheses'!$C$31</f>
        <v/>
      </c>
      <c r="E24" s="35">
        <f>-E19*'1_Hypotheses'!$C$31</f>
        <v/>
      </c>
      <c r="F24" s="35">
        <f>-F19*'1_Hypotheses'!$C$31</f>
        <v/>
      </c>
      <c r="G24" s="35">
        <f>-G19*'1_Hypotheses'!$C$31</f>
        <v/>
      </c>
      <c r="H24" s="35">
        <f>-H19*'1_Hypotheses'!$C$31</f>
        <v/>
      </c>
      <c r="I24" s="35">
        <f>-I19*'1_Hypotheses'!$C$31</f>
        <v/>
      </c>
      <c r="J24" s="35">
        <f>-J19*'1_Hypotheses'!$C$31</f>
        <v/>
      </c>
      <c r="K24" s="35">
        <f>-K19*'1_Hypotheses'!$C$31</f>
        <v/>
      </c>
      <c r="L24" s="35">
        <f>-L19*'1_Hypotheses'!$C$31</f>
        <v/>
      </c>
      <c r="M24" s="35">
        <f>-M19*'1_Hypotheses'!$C$31</f>
        <v/>
      </c>
      <c r="N24" s="35">
        <f>-N19*'1_Hypotheses'!$C$31</f>
        <v/>
      </c>
      <c r="O24" s="35">
        <f>-O19*'1_Hypotheses'!$C$31</f>
        <v/>
      </c>
      <c r="P24" s="35">
        <f>-P19*'1_Hypotheses'!$C$31</f>
        <v/>
      </c>
      <c r="Q24" s="35">
        <f>-Q19*'1_Hypotheses'!$C$31</f>
        <v/>
      </c>
      <c r="R24" s="35">
        <f>-R19*'1_Hypotheses'!$C$31</f>
        <v/>
      </c>
      <c r="S24" s="35">
        <f>-S19*'1_Hypotheses'!$C$31</f>
        <v/>
      </c>
      <c r="T24" s="35">
        <f>-T19*'1_Hypotheses'!$C$31</f>
        <v/>
      </c>
      <c r="U24" s="35">
        <f>-U19*'1_Hypotheses'!$C$31</f>
        <v/>
      </c>
      <c r="V24" s="35">
        <f>-V19*'1_Hypotheses'!$C$31</f>
        <v/>
      </c>
      <c r="W24" s="35">
        <f>-W19*'1_Hypotheses'!$C$31</f>
        <v/>
      </c>
      <c r="X24" s="35">
        <f>-X19*'1_Hypotheses'!$C$31</f>
        <v/>
      </c>
      <c r="Y24" s="35">
        <f>-Y19*'1_Hypotheses'!$C$31</f>
        <v/>
      </c>
      <c r="Z24" s="35">
        <f>-Z19*'1_Hypotheses'!$C$31</f>
        <v/>
      </c>
    </row>
    <row r="25">
      <c r="A25" s="45" t="inlineStr">
        <is>
          <t>TOTAL COUTS VARIABLES ET REVERSEMENTS</t>
        </is>
      </c>
      <c r="B25" s="22">
        <f>SUM(C25:Z25)</f>
        <v/>
      </c>
      <c r="C25" s="22">
        <f>SUM(C22:C24)</f>
        <v/>
      </c>
      <c r="D25" s="22">
        <f>SUM(D22:D24)</f>
        <v/>
      </c>
      <c r="E25" s="22">
        <f>SUM(E22:E24)</f>
        <v/>
      </c>
      <c r="F25" s="22">
        <f>SUM(F22:F24)</f>
        <v/>
      </c>
      <c r="G25" s="22">
        <f>SUM(G22:G24)</f>
        <v/>
      </c>
      <c r="H25" s="22">
        <f>SUM(H22:H24)</f>
        <v/>
      </c>
      <c r="I25" s="22">
        <f>SUM(I22:I24)</f>
        <v/>
      </c>
      <c r="J25" s="22">
        <f>SUM(J22:J24)</f>
        <v/>
      </c>
      <c r="K25" s="22">
        <f>SUM(K22:K24)</f>
        <v/>
      </c>
      <c r="L25" s="22">
        <f>SUM(L22:L24)</f>
        <v/>
      </c>
      <c r="M25" s="22">
        <f>SUM(M22:M24)</f>
        <v/>
      </c>
      <c r="N25" s="22">
        <f>SUM(N22:N24)</f>
        <v/>
      </c>
      <c r="O25" s="22">
        <f>SUM(O22:O24)</f>
        <v/>
      </c>
      <c r="P25" s="22">
        <f>SUM(P22:P24)</f>
        <v/>
      </c>
      <c r="Q25" s="22">
        <f>SUM(Q22:Q24)</f>
        <v/>
      </c>
      <c r="R25" s="22">
        <f>SUM(R22:R24)</f>
        <v/>
      </c>
      <c r="S25" s="22">
        <f>SUM(S22:S24)</f>
        <v/>
      </c>
      <c r="T25" s="22">
        <f>SUM(T22:T24)</f>
        <v/>
      </c>
      <c r="U25" s="22">
        <f>SUM(U22:U24)</f>
        <v/>
      </c>
      <c r="V25" s="22">
        <f>SUM(V22:V24)</f>
        <v/>
      </c>
      <c r="W25" s="22">
        <f>SUM(W22:W24)</f>
        <v/>
      </c>
      <c r="X25" s="22">
        <f>SUM(X22:X24)</f>
        <v/>
      </c>
      <c r="Y25" s="22">
        <f>SUM(Y22:Y24)</f>
        <v/>
      </c>
      <c r="Z25" s="22">
        <f>SUM(Z22:Z24)</f>
        <v/>
      </c>
    </row>
    <row r="26">
      <c r="A26" s="45" t="inlineStr">
        <is>
          <t>MARGE CONTRIBUTIVE</t>
        </is>
      </c>
      <c r="B26" s="26">
        <f>SUM(C26:Z26)</f>
        <v/>
      </c>
      <c r="C26" s="26">
        <f>C20+C25</f>
        <v/>
      </c>
      <c r="D26" s="26">
        <f>D20+D25</f>
        <v/>
      </c>
      <c r="E26" s="26">
        <f>E20+E25</f>
        <v/>
      </c>
      <c r="F26" s="26">
        <f>F20+F25</f>
        <v/>
      </c>
      <c r="G26" s="26">
        <f>G20+G25</f>
        <v/>
      </c>
      <c r="H26" s="26">
        <f>H20+H25</f>
        <v/>
      </c>
      <c r="I26" s="26">
        <f>I20+I25</f>
        <v/>
      </c>
      <c r="J26" s="26">
        <f>J20+J25</f>
        <v/>
      </c>
      <c r="K26" s="26">
        <f>K20+K25</f>
        <v/>
      </c>
      <c r="L26" s="26">
        <f>L20+L25</f>
        <v/>
      </c>
      <c r="M26" s="26">
        <f>M20+M25</f>
        <v/>
      </c>
      <c r="N26" s="26">
        <f>N20+N25</f>
        <v/>
      </c>
      <c r="O26" s="26">
        <f>O20+O25</f>
        <v/>
      </c>
      <c r="P26" s="26">
        <f>P20+P25</f>
        <v/>
      </c>
      <c r="Q26" s="26">
        <f>Q20+Q25</f>
        <v/>
      </c>
      <c r="R26" s="26">
        <f>R20+R25</f>
        <v/>
      </c>
      <c r="S26" s="26">
        <f>S20+S25</f>
        <v/>
      </c>
      <c r="T26" s="26">
        <f>T20+T25</f>
        <v/>
      </c>
      <c r="U26" s="26">
        <f>U20+U25</f>
        <v/>
      </c>
      <c r="V26" s="26">
        <f>V20+V25</f>
        <v/>
      </c>
      <c r="W26" s="26">
        <f>W20+W25</f>
        <v/>
      </c>
      <c r="X26" s="26">
        <f>X20+X25</f>
        <v/>
      </c>
      <c r="Y26" s="26">
        <f>Y20+Y25</f>
        <v/>
      </c>
      <c r="Z26" s="26">
        <f>Z20+Z25</f>
        <v/>
      </c>
    </row>
    <row r="27">
      <c r="A27" s="4" t="inlineStr">
        <is>
          <t>COUTS EVITES  (arrêt du service historique)</t>
        </is>
      </c>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41" t="inlineStr">
        <is>
          <t>Taux de réalisation des économies</t>
        </is>
      </c>
      <c r="B28" s="46">
        <f>Z28</f>
        <v/>
      </c>
      <c r="C28" s="38">
        <f>IF(1&lt;'1_Hypotheses'!$C$48,0,MIN(1,(1-'1_Hypotheses'!$C$48+1)/'1_Hypotheses'!$C$49))</f>
        <v/>
      </c>
      <c r="D28" s="38">
        <f>IF(2&lt;'1_Hypotheses'!$C$48,0,MIN(1,(2-'1_Hypotheses'!$C$48+1)/'1_Hypotheses'!$C$49))</f>
        <v/>
      </c>
      <c r="E28" s="38">
        <f>IF(3&lt;'1_Hypotheses'!$C$48,0,MIN(1,(3-'1_Hypotheses'!$C$48+1)/'1_Hypotheses'!$C$49))</f>
        <v/>
      </c>
      <c r="F28" s="38">
        <f>IF(4&lt;'1_Hypotheses'!$C$48,0,MIN(1,(4-'1_Hypotheses'!$C$48+1)/'1_Hypotheses'!$C$49))</f>
        <v/>
      </c>
      <c r="G28" s="38">
        <f>IF(5&lt;'1_Hypotheses'!$C$48,0,MIN(1,(5-'1_Hypotheses'!$C$48+1)/'1_Hypotheses'!$C$49))</f>
        <v/>
      </c>
      <c r="H28" s="38">
        <f>IF(6&lt;'1_Hypotheses'!$C$48,0,MIN(1,(6-'1_Hypotheses'!$C$48+1)/'1_Hypotheses'!$C$49))</f>
        <v/>
      </c>
      <c r="I28" s="38">
        <f>IF(7&lt;'1_Hypotheses'!$C$48,0,MIN(1,(7-'1_Hypotheses'!$C$48+1)/'1_Hypotheses'!$C$49))</f>
        <v/>
      </c>
      <c r="J28" s="38">
        <f>IF(8&lt;'1_Hypotheses'!$C$48,0,MIN(1,(8-'1_Hypotheses'!$C$48+1)/'1_Hypotheses'!$C$49))</f>
        <v/>
      </c>
      <c r="K28" s="38">
        <f>IF(9&lt;'1_Hypotheses'!$C$48,0,MIN(1,(9-'1_Hypotheses'!$C$48+1)/'1_Hypotheses'!$C$49))</f>
        <v/>
      </c>
      <c r="L28" s="38">
        <f>IF(10&lt;'1_Hypotheses'!$C$48,0,MIN(1,(10-'1_Hypotheses'!$C$48+1)/'1_Hypotheses'!$C$49))</f>
        <v/>
      </c>
      <c r="M28" s="38">
        <f>IF(11&lt;'1_Hypotheses'!$C$48,0,MIN(1,(11-'1_Hypotheses'!$C$48+1)/'1_Hypotheses'!$C$49))</f>
        <v/>
      </c>
      <c r="N28" s="38">
        <f>IF(12&lt;'1_Hypotheses'!$C$48,0,MIN(1,(12-'1_Hypotheses'!$C$48+1)/'1_Hypotheses'!$C$49))</f>
        <v/>
      </c>
      <c r="O28" s="38">
        <f>IF(13&lt;'1_Hypotheses'!$C$48,0,MIN(1,(13-'1_Hypotheses'!$C$48+1)/'1_Hypotheses'!$C$49))</f>
        <v/>
      </c>
      <c r="P28" s="38">
        <f>IF(14&lt;'1_Hypotheses'!$C$48,0,MIN(1,(14-'1_Hypotheses'!$C$48+1)/'1_Hypotheses'!$C$49))</f>
        <v/>
      </c>
      <c r="Q28" s="38">
        <f>IF(15&lt;'1_Hypotheses'!$C$48,0,MIN(1,(15-'1_Hypotheses'!$C$48+1)/'1_Hypotheses'!$C$49))</f>
        <v/>
      </c>
      <c r="R28" s="38">
        <f>IF(16&lt;'1_Hypotheses'!$C$48,0,MIN(1,(16-'1_Hypotheses'!$C$48+1)/'1_Hypotheses'!$C$49))</f>
        <v/>
      </c>
      <c r="S28" s="38">
        <f>IF(17&lt;'1_Hypotheses'!$C$48,0,MIN(1,(17-'1_Hypotheses'!$C$48+1)/'1_Hypotheses'!$C$49))</f>
        <v/>
      </c>
      <c r="T28" s="38">
        <f>IF(18&lt;'1_Hypotheses'!$C$48,0,MIN(1,(18-'1_Hypotheses'!$C$48+1)/'1_Hypotheses'!$C$49))</f>
        <v/>
      </c>
      <c r="U28" s="38">
        <f>IF(19&lt;'1_Hypotheses'!$C$48,0,MIN(1,(19-'1_Hypotheses'!$C$48+1)/'1_Hypotheses'!$C$49))</f>
        <v/>
      </c>
      <c r="V28" s="38">
        <f>IF(20&lt;'1_Hypotheses'!$C$48,0,MIN(1,(20-'1_Hypotheses'!$C$48+1)/'1_Hypotheses'!$C$49))</f>
        <v/>
      </c>
      <c r="W28" s="38">
        <f>IF(21&lt;'1_Hypotheses'!$C$48,0,MIN(1,(21-'1_Hypotheses'!$C$48+1)/'1_Hypotheses'!$C$49))</f>
        <v/>
      </c>
      <c r="X28" s="38">
        <f>IF(22&lt;'1_Hypotheses'!$C$48,0,MIN(1,(22-'1_Hypotheses'!$C$48+1)/'1_Hypotheses'!$C$49))</f>
        <v/>
      </c>
      <c r="Y28" s="38">
        <f>IF(23&lt;'1_Hypotheses'!$C$48,0,MIN(1,(23-'1_Hypotheses'!$C$48+1)/'1_Hypotheses'!$C$49))</f>
        <v/>
      </c>
      <c r="Z28" s="38">
        <f>IF(24&lt;'1_Hypotheses'!$C$48,0,MIN(1,(24-'1_Hypotheses'!$C$48+1)/'1_Hypotheses'!$C$49))</f>
        <v/>
      </c>
    </row>
    <row r="29">
      <c r="A29" s="41" t="inlineStr">
        <is>
          <t xml:space="preserve">  Hébergement et infrastructure on-premise allouée</t>
        </is>
      </c>
      <c r="B29" s="22">
        <f>SUM(C29:Z29)</f>
        <v/>
      </c>
      <c r="C29" s="35">
        <f>'2_Couts_evites'!$B$6*'2_Couts_evites'!$C$6/12*C28</f>
        <v/>
      </c>
      <c r="D29" s="35">
        <f>'2_Couts_evites'!$B$6*'2_Couts_evites'!$C$6/12*D28</f>
        <v/>
      </c>
      <c r="E29" s="35">
        <f>'2_Couts_evites'!$B$6*'2_Couts_evites'!$C$6/12*E28</f>
        <v/>
      </c>
      <c r="F29" s="35">
        <f>'2_Couts_evites'!$B$6*'2_Couts_evites'!$C$6/12*F28</f>
        <v/>
      </c>
      <c r="G29" s="35">
        <f>'2_Couts_evites'!$B$6*'2_Couts_evites'!$C$6/12*G28</f>
        <v/>
      </c>
      <c r="H29" s="35">
        <f>'2_Couts_evites'!$B$6*'2_Couts_evites'!$C$6/12*H28</f>
        <v/>
      </c>
      <c r="I29" s="35">
        <f>'2_Couts_evites'!$B$6*'2_Couts_evites'!$C$6/12*I28</f>
        <v/>
      </c>
      <c r="J29" s="35">
        <f>'2_Couts_evites'!$B$6*'2_Couts_evites'!$C$6/12*J28</f>
        <v/>
      </c>
      <c r="K29" s="35">
        <f>'2_Couts_evites'!$B$6*'2_Couts_evites'!$C$6/12*K28</f>
        <v/>
      </c>
      <c r="L29" s="35">
        <f>'2_Couts_evites'!$B$6*'2_Couts_evites'!$C$6/12*L28</f>
        <v/>
      </c>
      <c r="M29" s="35">
        <f>'2_Couts_evites'!$B$6*'2_Couts_evites'!$C$6/12*M28</f>
        <v/>
      </c>
      <c r="N29" s="35">
        <f>'2_Couts_evites'!$B$6*'2_Couts_evites'!$C$6/12*N28</f>
        <v/>
      </c>
      <c r="O29" s="35">
        <f>'2_Couts_evites'!$B$6*'2_Couts_evites'!$C$6/12*O28</f>
        <v/>
      </c>
      <c r="P29" s="35">
        <f>'2_Couts_evites'!$B$6*'2_Couts_evites'!$C$6/12*P28</f>
        <v/>
      </c>
      <c r="Q29" s="35">
        <f>'2_Couts_evites'!$B$6*'2_Couts_evites'!$C$6/12*Q28</f>
        <v/>
      </c>
      <c r="R29" s="35">
        <f>'2_Couts_evites'!$B$6*'2_Couts_evites'!$C$6/12*R28</f>
        <v/>
      </c>
      <c r="S29" s="35">
        <f>'2_Couts_evites'!$B$6*'2_Couts_evites'!$C$6/12*S28</f>
        <v/>
      </c>
      <c r="T29" s="35">
        <f>'2_Couts_evites'!$B$6*'2_Couts_evites'!$C$6/12*T28</f>
        <v/>
      </c>
      <c r="U29" s="35">
        <f>'2_Couts_evites'!$B$6*'2_Couts_evites'!$C$6/12*U28</f>
        <v/>
      </c>
      <c r="V29" s="35">
        <f>'2_Couts_evites'!$B$6*'2_Couts_evites'!$C$6/12*V28</f>
        <v/>
      </c>
      <c r="W29" s="35">
        <f>'2_Couts_evites'!$B$6*'2_Couts_evites'!$C$6/12*W28</f>
        <v/>
      </c>
      <c r="X29" s="35">
        <f>'2_Couts_evites'!$B$6*'2_Couts_evites'!$C$6/12*X28</f>
        <v/>
      </c>
      <c r="Y29" s="35">
        <f>'2_Couts_evites'!$B$6*'2_Couts_evites'!$C$6/12*Y28</f>
        <v/>
      </c>
      <c r="Z29" s="35">
        <f>'2_Couts_evites'!$B$6*'2_Couts_evites'!$C$6/12*Z28</f>
        <v/>
      </c>
    </row>
    <row r="30">
      <c r="A30" s="41" t="inlineStr">
        <is>
          <t xml:space="preserve">  TMA et maintenance corrective</t>
        </is>
      </c>
      <c r="B30" s="22">
        <f>SUM(C30:Z30)</f>
        <v/>
      </c>
      <c r="C30" s="35">
        <f>'2_Couts_evites'!$B$7*'2_Couts_evites'!$C$7/12*C28</f>
        <v/>
      </c>
      <c r="D30" s="35">
        <f>'2_Couts_evites'!$B$7*'2_Couts_evites'!$C$7/12*D28</f>
        <v/>
      </c>
      <c r="E30" s="35">
        <f>'2_Couts_evites'!$B$7*'2_Couts_evites'!$C$7/12*E28</f>
        <v/>
      </c>
      <c r="F30" s="35">
        <f>'2_Couts_evites'!$B$7*'2_Couts_evites'!$C$7/12*F28</f>
        <v/>
      </c>
      <c r="G30" s="35">
        <f>'2_Couts_evites'!$B$7*'2_Couts_evites'!$C$7/12*G28</f>
        <v/>
      </c>
      <c r="H30" s="35">
        <f>'2_Couts_evites'!$B$7*'2_Couts_evites'!$C$7/12*H28</f>
        <v/>
      </c>
      <c r="I30" s="35">
        <f>'2_Couts_evites'!$B$7*'2_Couts_evites'!$C$7/12*I28</f>
        <v/>
      </c>
      <c r="J30" s="35">
        <f>'2_Couts_evites'!$B$7*'2_Couts_evites'!$C$7/12*J28</f>
        <v/>
      </c>
      <c r="K30" s="35">
        <f>'2_Couts_evites'!$B$7*'2_Couts_evites'!$C$7/12*K28</f>
        <v/>
      </c>
      <c r="L30" s="35">
        <f>'2_Couts_evites'!$B$7*'2_Couts_evites'!$C$7/12*L28</f>
        <v/>
      </c>
      <c r="M30" s="35">
        <f>'2_Couts_evites'!$B$7*'2_Couts_evites'!$C$7/12*M28</f>
        <v/>
      </c>
      <c r="N30" s="35">
        <f>'2_Couts_evites'!$B$7*'2_Couts_evites'!$C$7/12*N28</f>
        <v/>
      </c>
      <c r="O30" s="35">
        <f>'2_Couts_evites'!$B$7*'2_Couts_evites'!$C$7/12*O28</f>
        <v/>
      </c>
      <c r="P30" s="35">
        <f>'2_Couts_evites'!$B$7*'2_Couts_evites'!$C$7/12*P28</f>
        <v/>
      </c>
      <c r="Q30" s="35">
        <f>'2_Couts_evites'!$B$7*'2_Couts_evites'!$C$7/12*Q28</f>
        <v/>
      </c>
      <c r="R30" s="35">
        <f>'2_Couts_evites'!$B$7*'2_Couts_evites'!$C$7/12*R28</f>
        <v/>
      </c>
      <c r="S30" s="35">
        <f>'2_Couts_evites'!$B$7*'2_Couts_evites'!$C$7/12*S28</f>
        <v/>
      </c>
      <c r="T30" s="35">
        <f>'2_Couts_evites'!$B$7*'2_Couts_evites'!$C$7/12*T28</f>
        <v/>
      </c>
      <c r="U30" s="35">
        <f>'2_Couts_evites'!$B$7*'2_Couts_evites'!$C$7/12*U28</f>
        <v/>
      </c>
      <c r="V30" s="35">
        <f>'2_Couts_evites'!$B$7*'2_Couts_evites'!$C$7/12*V28</f>
        <v/>
      </c>
      <c r="W30" s="35">
        <f>'2_Couts_evites'!$B$7*'2_Couts_evites'!$C$7/12*W28</f>
        <v/>
      </c>
      <c r="X30" s="35">
        <f>'2_Couts_evites'!$B$7*'2_Couts_evites'!$C$7/12*X28</f>
        <v/>
      </c>
      <c r="Y30" s="35">
        <f>'2_Couts_evites'!$B$7*'2_Couts_evites'!$C$7/12*Y28</f>
        <v/>
      </c>
      <c r="Z30" s="35">
        <f>'2_Couts_evites'!$B$7*'2_Couts_evites'!$C$7/12*Z28</f>
        <v/>
      </c>
    </row>
    <row r="31">
      <c r="A31" s="41" t="inlineStr">
        <is>
          <t xml:space="preserve">  Exploitation interne (0,25 ETP)</t>
        </is>
      </c>
      <c r="B31" s="22">
        <f>SUM(C31:Z31)</f>
        <v/>
      </c>
      <c r="C31" s="35">
        <f>'2_Couts_evites'!$B$8*'2_Couts_evites'!$C$8/12*C28</f>
        <v/>
      </c>
      <c r="D31" s="35">
        <f>'2_Couts_evites'!$B$8*'2_Couts_evites'!$C$8/12*D28</f>
        <v/>
      </c>
      <c r="E31" s="35">
        <f>'2_Couts_evites'!$B$8*'2_Couts_evites'!$C$8/12*E28</f>
        <v/>
      </c>
      <c r="F31" s="35">
        <f>'2_Couts_evites'!$B$8*'2_Couts_evites'!$C$8/12*F28</f>
        <v/>
      </c>
      <c r="G31" s="35">
        <f>'2_Couts_evites'!$B$8*'2_Couts_evites'!$C$8/12*G28</f>
        <v/>
      </c>
      <c r="H31" s="35">
        <f>'2_Couts_evites'!$B$8*'2_Couts_evites'!$C$8/12*H28</f>
        <v/>
      </c>
      <c r="I31" s="35">
        <f>'2_Couts_evites'!$B$8*'2_Couts_evites'!$C$8/12*I28</f>
        <v/>
      </c>
      <c r="J31" s="35">
        <f>'2_Couts_evites'!$B$8*'2_Couts_evites'!$C$8/12*J28</f>
        <v/>
      </c>
      <c r="K31" s="35">
        <f>'2_Couts_evites'!$B$8*'2_Couts_evites'!$C$8/12*K28</f>
        <v/>
      </c>
      <c r="L31" s="35">
        <f>'2_Couts_evites'!$B$8*'2_Couts_evites'!$C$8/12*L28</f>
        <v/>
      </c>
      <c r="M31" s="35">
        <f>'2_Couts_evites'!$B$8*'2_Couts_evites'!$C$8/12*M28</f>
        <v/>
      </c>
      <c r="N31" s="35">
        <f>'2_Couts_evites'!$B$8*'2_Couts_evites'!$C$8/12*N28</f>
        <v/>
      </c>
      <c r="O31" s="35">
        <f>'2_Couts_evites'!$B$8*'2_Couts_evites'!$C$8/12*O28</f>
        <v/>
      </c>
      <c r="P31" s="35">
        <f>'2_Couts_evites'!$B$8*'2_Couts_evites'!$C$8/12*P28</f>
        <v/>
      </c>
      <c r="Q31" s="35">
        <f>'2_Couts_evites'!$B$8*'2_Couts_evites'!$C$8/12*Q28</f>
        <v/>
      </c>
      <c r="R31" s="35">
        <f>'2_Couts_evites'!$B$8*'2_Couts_evites'!$C$8/12*R28</f>
        <v/>
      </c>
      <c r="S31" s="35">
        <f>'2_Couts_evites'!$B$8*'2_Couts_evites'!$C$8/12*S28</f>
        <v/>
      </c>
      <c r="T31" s="35">
        <f>'2_Couts_evites'!$B$8*'2_Couts_evites'!$C$8/12*T28</f>
        <v/>
      </c>
      <c r="U31" s="35">
        <f>'2_Couts_evites'!$B$8*'2_Couts_evites'!$C$8/12*U28</f>
        <v/>
      </c>
      <c r="V31" s="35">
        <f>'2_Couts_evites'!$B$8*'2_Couts_evites'!$C$8/12*V28</f>
        <v/>
      </c>
      <c r="W31" s="35">
        <f>'2_Couts_evites'!$B$8*'2_Couts_evites'!$C$8/12*W28</f>
        <v/>
      </c>
      <c r="X31" s="35">
        <f>'2_Couts_evites'!$B$8*'2_Couts_evites'!$C$8/12*X28</f>
        <v/>
      </c>
      <c r="Y31" s="35">
        <f>'2_Couts_evites'!$B$8*'2_Couts_evites'!$C$8/12*Y28</f>
        <v/>
      </c>
      <c r="Z31" s="35">
        <f>'2_Couts_evites'!$B$8*'2_Couts_evites'!$C$8/12*Z28</f>
        <v/>
      </c>
    </row>
    <row r="32">
      <c r="A32" s="41" t="inlineStr">
        <is>
          <t xml:space="preserve">  Support N1/N2 : abus, réclamations, signalements</t>
        </is>
      </c>
      <c r="B32" s="22">
        <f>SUM(C32:Z32)</f>
        <v/>
      </c>
      <c r="C32" s="35">
        <f>'2_Couts_evites'!$B$9*'2_Couts_evites'!$C$9/12*C28</f>
        <v/>
      </c>
      <c r="D32" s="35">
        <f>'2_Couts_evites'!$B$9*'2_Couts_evites'!$C$9/12*D28</f>
        <v/>
      </c>
      <c r="E32" s="35">
        <f>'2_Couts_evites'!$B$9*'2_Couts_evites'!$C$9/12*E28</f>
        <v/>
      </c>
      <c r="F32" s="35">
        <f>'2_Couts_evites'!$B$9*'2_Couts_evites'!$C$9/12*F28</f>
        <v/>
      </c>
      <c r="G32" s="35">
        <f>'2_Couts_evites'!$B$9*'2_Couts_evites'!$C$9/12*G28</f>
        <v/>
      </c>
      <c r="H32" s="35">
        <f>'2_Couts_evites'!$B$9*'2_Couts_evites'!$C$9/12*H28</f>
        <v/>
      </c>
      <c r="I32" s="35">
        <f>'2_Couts_evites'!$B$9*'2_Couts_evites'!$C$9/12*I28</f>
        <v/>
      </c>
      <c r="J32" s="35">
        <f>'2_Couts_evites'!$B$9*'2_Couts_evites'!$C$9/12*J28</f>
        <v/>
      </c>
      <c r="K32" s="35">
        <f>'2_Couts_evites'!$B$9*'2_Couts_evites'!$C$9/12*K28</f>
        <v/>
      </c>
      <c r="L32" s="35">
        <f>'2_Couts_evites'!$B$9*'2_Couts_evites'!$C$9/12*L28</f>
        <v/>
      </c>
      <c r="M32" s="35">
        <f>'2_Couts_evites'!$B$9*'2_Couts_evites'!$C$9/12*M28</f>
        <v/>
      </c>
      <c r="N32" s="35">
        <f>'2_Couts_evites'!$B$9*'2_Couts_evites'!$C$9/12*N28</f>
        <v/>
      </c>
      <c r="O32" s="35">
        <f>'2_Couts_evites'!$B$9*'2_Couts_evites'!$C$9/12*O28</f>
        <v/>
      </c>
      <c r="P32" s="35">
        <f>'2_Couts_evites'!$B$9*'2_Couts_evites'!$C$9/12*P28</f>
        <v/>
      </c>
      <c r="Q32" s="35">
        <f>'2_Couts_evites'!$B$9*'2_Couts_evites'!$C$9/12*Q28</f>
        <v/>
      </c>
      <c r="R32" s="35">
        <f>'2_Couts_evites'!$B$9*'2_Couts_evites'!$C$9/12*R28</f>
        <v/>
      </c>
      <c r="S32" s="35">
        <f>'2_Couts_evites'!$B$9*'2_Couts_evites'!$C$9/12*S28</f>
        <v/>
      </c>
      <c r="T32" s="35">
        <f>'2_Couts_evites'!$B$9*'2_Couts_evites'!$C$9/12*T28</f>
        <v/>
      </c>
      <c r="U32" s="35">
        <f>'2_Couts_evites'!$B$9*'2_Couts_evites'!$C$9/12*U28</f>
        <v/>
      </c>
      <c r="V32" s="35">
        <f>'2_Couts_evites'!$B$9*'2_Couts_evites'!$C$9/12*V28</f>
        <v/>
      </c>
      <c r="W32" s="35">
        <f>'2_Couts_evites'!$B$9*'2_Couts_evites'!$C$9/12*W28</f>
        <v/>
      </c>
      <c r="X32" s="35">
        <f>'2_Couts_evites'!$B$9*'2_Couts_evites'!$C$9/12*X28</f>
        <v/>
      </c>
      <c r="Y32" s="35">
        <f>'2_Couts_evites'!$B$9*'2_Couts_evites'!$C$9/12*Y28</f>
        <v/>
      </c>
      <c r="Z32" s="35">
        <f>'2_Couts_evites'!$B$9*'2_Couts_evites'!$C$9/12*Z28</f>
        <v/>
      </c>
    </row>
    <row r="33">
      <c r="A33" s="41" t="inlineStr">
        <is>
          <t xml:space="preserve">  Licences et composants propriétaires</t>
        </is>
      </c>
      <c r="B33" s="22">
        <f>SUM(C33:Z33)</f>
        <v/>
      </c>
      <c r="C33" s="35">
        <f>'2_Couts_evites'!$B$10*'2_Couts_evites'!$C$10/12*C28</f>
        <v/>
      </c>
      <c r="D33" s="35">
        <f>'2_Couts_evites'!$B$10*'2_Couts_evites'!$C$10/12*D28</f>
        <v/>
      </c>
      <c r="E33" s="35">
        <f>'2_Couts_evites'!$B$10*'2_Couts_evites'!$C$10/12*E28</f>
        <v/>
      </c>
      <c r="F33" s="35">
        <f>'2_Couts_evites'!$B$10*'2_Couts_evites'!$C$10/12*F28</f>
        <v/>
      </c>
      <c r="G33" s="35">
        <f>'2_Couts_evites'!$B$10*'2_Couts_evites'!$C$10/12*G28</f>
        <v/>
      </c>
      <c r="H33" s="35">
        <f>'2_Couts_evites'!$B$10*'2_Couts_evites'!$C$10/12*H28</f>
        <v/>
      </c>
      <c r="I33" s="35">
        <f>'2_Couts_evites'!$B$10*'2_Couts_evites'!$C$10/12*I28</f>
        <v/>
      </c>
      <c r="J33" s="35">
        <f>'2_Couts_evites'!$B$10*'2_Couts_evites'!$C$10/12*J28</f>
        <v/>
      </c>
      <c r="K33" s="35">
        <f>'2_Couts_evites'!$B$10*'2_Couts_evites'!$C$10/12*K28</f>
        <v/>
      </c>
      <c r="L33" s="35">
        <f>'2_Couts_evites'!$B$10*'2_Couts_evites'!$C$10/12*L28</f>
        <v/>
      </c>
      <c r="M33" s="35">
        <f>'2_Couts_evites'!$B$10*'2_Couts_evites'!$C$10/12*M28</f>
        <v/>
      </c>
      <c r="N33" s="35">
        <f>'2_Couts_evites'!$B$10*'2_Couts_evites'!$C$10/12*N28</f>
        <v/>
      </c>
      <c r="O33" s="35">
        <f>'2_Couts_evites'!$B$10*'2_Couts_evites'!$C$10/12*O28</f>
        <v/>
      </c>
      <c r="P33" s="35">
        <f>'2_Couts_evites'!$B$10*'2_Couts_evites'!$C$10/12*P28</f>
        <v/>
      </c>
      <c r="Q33" s="35">
        <f>'2_Couts_evites'!$B$10*'2_Couts_evites'!$C$10/12*Q28</f>
        <v/>
      </c>
      <c r="R33" s="35">
        <f>'2_Couts_evites'!$B$10*'2_Couts_evites'!$C$10/12*R28</f>
        <v/>
      </c>
      <c r="S33" s="35">
        <f>'2_Couts_evites'!$B$10*'2_Couts_evites'!$C$10/12*S28</f>
        <v/>
      </c>
      <c r="T33" s="35">
        <f>'2_Couts_evites'!$B$10*'2_Couts_evites'!$C$10/12*T28</f>
        <v/>
      </c>
      <c r="U33" s="35">
        <f>'2_Couts_evites'!$B$10*'2_Couts_evites'!$C$10/12*U28</f>
        <v/>
      </c>
      <c r="V33" s="35">
        <f>'2_Couts_evites'!$B$10*'2_Couts_evites'!$C$10/12*V28</f>
        <v/>
      </c>
      <c r="W33" s="35">
        <f>'2_Couts_evites'!$B$10*'2_Couts_evites'!$C$10/12*W28</f>
        <v/>
      </c>
      <c r="X33" s="35">
        <f>'2_Couts_evites'!$B$10*'2_Couts_evites'!$C$10/12*X28</f>
        <v/>
      </c>
      <c r="Y33" s="35">
        <f>'2_Couts_evites'!$B$10*'2_Couts_evites'!$C$10/12*Y28</f>
        <v/>
      </c>
      <c r="Z33" s="35">
        <f>'2_Couts_evites'!$B$10*'2_Couts_evites'!$C$10/12*Z28</f>
        <v/>
      </c>
    </row>
    <row r="34">
      <c r="A34" s="41" t="inlineStr">
        <is>
          <t xml:space="preserve">  Acheminement des SMS du service historique</t>
        </is>
      </c>
      <c r="B34" s="22">
        <f>SUM(C34:Z34)</f>
        <v/>
      </c>
      <c r="C34" s="35">
        <f>'2_Couts_evites'!$B$11*'2_Couts_evites'!$C$11/12*C28</f>
        <v/>
      </c>
      <c r="D34" s="35">
        <f>'2_Couts_evites'!$B$11*'2_Couts_evites'!$C$11/12*D28</f>
        <v/>
      </c>
      <c r="E34" s="35">
        <f>'2_Couts_evites'!$B$11*'2_Couts_evites'!$C$11/12*E28</f>
        <v/>
      </c>
      <c r="F34" s="35">
        <f>'2_Couts_evites'!$B$11*'2_Couts_evites'!$C$11/12*F28</f>
        <v/>
      </c>
      <c r="G34" s="35">
        <f>'2_Couts_evites'!$B$11*'2_Couts_evites'!$C$11/12*G28</f>
        <v/>
      </c>
      <c r="H34" s="35">
        <f>'2_Couts_evites'!$B$11*'2_Couts_evites'!$C$11/12*H28</f>
        <v/>
      </c>
      <c r="I34" s="35">
        <f>'2_Couts_evites'!$B$11*'2_Couts_evites'!$C$11/12*I28</f>
        <v/>
      </c>
      <c r="J34" s="35">
        <f>'2_Couts_evites'!$B$11*'2_Couts_evites'!$C$11/12*J28</f>
        <v/>
      </c>
      <c r="K34" s="35">
        <f>'2_Couts_evites'!$B$11*'2_Couts_evites'!$C$11/12*K28</f>
        <v/>
      </c>
      <c r="L34" s="35">
        <f>'2_Couts_evites'!$B$11*'2_Couts_evites'!$C$11/12*L28</f>
        <v/>
      </c>
      <c r="M34" s="35">
        <f>'2_Couts_evites'!$B$11*'2_Couts_evites'!$C$11/12*M28</f>
        <v/>
      </c>
      <c r="N34" s="35">
        <f>'2_Couts_evites'!$B$11*'2_Couts_evites'!$C$11/12*N28</f>
        <v/>
      </c>
      <c r="O34" s="35">
        <f>'2_Couts_evites'!$B$11*'2_Couts_evites'!$C$11/12*O28</f>
        <v/>
      </c>
      <c r="P34" s="35">
        <f>'2_Couts_evites'!$B$11*'2_Couts_evites'!$C$11/12*P28</f>
        <v/>
      </c>
      <c r="Q34" s="35">
        <f>'2_Couts_evites'!$B$11*'2_Couts_evites'!$C$11/12*Q28</f>
        <v/>
      </c>
      <c r="R34" s="35">
        <f>'2_Couts_evites'!$B$11*'2_Couts_evites'!$C$11/12*R28</f>
        <v/>
      </c>
      <c r="S34" s="35">
        <f>'2_Couts_evites'!$B$11*'2_Couts_evites'!$C$11/12*S28</f>
        <v/>
      </c>
      <c r="T34" s="35">
        <f>'2_Couts_evites'!$B$11*'2_Couts_evites'!$C$11/12*T28</f>
        <v/>
      </c>
      <c r="U34" s="35">
        <f>'2_Couts_evites'!$B$11*'2_Couts_evites'!$C$11/12*U28</f>
        <v/>
      </c>
      <c r="V34" s="35">
        <f>'2_Couts_evites'!$B$11*'2_Couts_evites'!$C$11/12*V28</f>
        <v/>
      </c>
      <c r="W34" s="35">
        <f>'2_Couts_evites'!$B$11*'2_Couts_evites'!$C$11/12*W28</f>
        <v/>
      </c>
      <c r="X34" s="35">
        <f>'2_Couts_evites'!$B$11*'2_Couts_evites'!$C$11/12*X28</f>
        <v/>
      </c>
      <c r="Y34" s="35">
        <f>'2_Couts_evites'!$B$11*'2_Couts_evites'!$C$11/12*Y28</f>
        <v/>
      </c>
      <c r="Z34" s="35">
        <f>'2_Couts_evites'!$B$11*'2_Couts_evites'!$C$11/12*Z28</f>
        <v/>
      </c>
    </row>
    <row r="35">
      <c r="A35" s="45" t="inlineStr">
        <is>
          <t>TOTAL COUTS EVITES</t>
        </is>
      </c>
      <c r="B35" s="26">
        <f>SUM(C35:Z35)</f>
        <v/>
      </c>
      <c r="C35" s="26">
        <f>SUM(C29:C34)</f>
        <v/>
      </c>
      <c r="D35" s="26">
        <f>SUM(D29:D34)</f>
        <v/>
      </c>
      <c r="E35" s="26">
        <f>SUM(E29:E34)</f>
        <v/>
      </c>
      <c r="F35" s="26">
        <f>SUM(F29:F34)</f>
        <v/>
      </c>
      <c r="G35" s="26">
        <f>SUM(G29:G34)</f>
        <v/>
      </c>
      <c r="H35" s="26">
        <f>SUM(H29:H34)</f>
        <v/>
      </c>
      <c r="I35" s="26">
        <f>SUM(I29:I34)</f>
        <v/>
      </c>
      <c r="J35" s="26">
        <f>SUM(J29:J34)</f>
        <v/>
      </c>
      <c r="K35" s="26">
        <f>SUM(K29:K34)</f>
        <v/>
      </c>
      <c r="L35" s="26">
        <f>SUM(L29:L34)</f>
        <v/>
      </c>
      <c r="M35" s="26">
        <f>SUM(M29:M34)</f>
        <v/>
      </c>
      <c r="N35" s="26">
        <f>SUM(N29:N34)</f>
        <v/>
      </c>
      <c r="O35" s="26">
        <f>SUM(O29:O34)</f>
        <v/>
      </c>
      <c r="P35" s="26">
        <f>SUM(P29:P34)</f>
        <v/>
      </c>
      <c r="Q35" s="26">
        <f>SUM(Q29:Q34)</f>
        <v/>
      </c>
      <c r="R35" s="26">
        <f>SUM(R29:R34)</f>
        <v/>
      </c>
      <c r="S35" s="26">
        <f>SUM(S29:S34)</f>
        <v/>
      </c>
      <c r="T35" s="26">
        <f>SUM(T29:T34)</f>
        <v/>
      </c>
      <c r="U35" s="26">
        <f>SUM(U29:U34)</f>
        <v/>
      </c>
      <c r="V35" s="26">
        <f>SUM(V29:V34)</f>
        <v/>
      </c>
      <c r="W35" s="26">
        <f>SUM(W29:W34)</f>
        <v/>
      </c>
      <c r="X35" s="26">
        <f>SUM(X29:X34)</f>
        <v/>
      </c>
      <c r="Y35" s="26">
        <f>SUM(Y29:Y34)</f>
        <v/>
      </c>
      <c r="Z35" s="26">
        <f>SUM(Z29:Z34)</f>
        <v/>
      </c>
    </row>
    <row r="36">
      <c r="A36" s="4" t="inlineStr">
        <is>
          <t>COUTS FIXES DU SERVICE NOUVELLE GENERATION</t>
        </is>
      </c>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41" t="inlineStr">
        <is>
          <t>Run technique et produit (à compter de la bascule)</t>
        </is>
      </c>
      <c r="B37" s="22">
        <f>SUM(C37:Z37)</f>
        <v/>
      </c>
      <c r="C37" s="35">
        <f>IF(1&gt;='1_Hypotheses'!$C$48,-'1_Hypotheses'!$C$36*'1_Hypotheses'!$C$37/12,0)</f>
        <v/>
      </c>
      <c r="D37" s="35">
        <f>IF(2&gt;='1_Hypotheses'!$C$48,-'1_Hypotheses'!$C$36*'1_Hypotheses'!$C$37/12,0)</f>
        <v/>
      </c>
      <c r="E37" s="35">
        <f>IF(3&gt;='1_Hypotheses'!$C$48,-'1_Hypotheses'!$C$36*'1_Hypotheses'!$C$37/12,0)</f>
        <v/>
      </c>
      <c r="F37" s="35">
        <f>IF(4&gt;='1_Hypotheses'!$C$48,-'1_Hypotheses'!$C$36*'1_Hypotheses'!$C$37/12,0)</f>
        <v/>
      </c>
      <c r="G37" s="35">
        <f>IF(5&gt;='1_Hypotheses'!$C$48,-'1_Hypotheses'!$C$36*'1_Hypotheses'!$C$37/12,0)</f>
        <v/>
      </c>
      <c r="H37" s="35">
        <f>IF(6&gt;='1_Hypotheses'!$C$48,-'1_Hypotheses'!$C$36*'1_Hypotheses'!$C$37/12,0)</f>
        <v/>
      </c>
      <c r="I37" s="35">
        <f>IF(7&gt;='1_Hypotheses'!$C$48,-'1_Hypotheses'!$C$36*'1_Hypotheses'!$C$37/12,0)</f>
        <v/>
      </c>
      <c r="J37" s="35">
        <f>IF(8&gt;='1_Hypotheses'!$C$48,-'1_Hypotheses'!$C$36*'1_Hypotheses'!$C$37/12,0)</f>
        <v/>
      </c>
      <c r="K37" s="35">
        <f>IF(9&gt;='1_Hypotheses'!$C$48,-'1_Hypotheses'!$C$36*'1_Hypotheses'!$C$37/12,0)</f>
        <v/>
      </c>
      <c r="L37" s="35">
        <f>IF(10&gt;='1_Hypotheses'!$C$48,-'1_Hypotheses'!$C$36*'1_Hypotheses'!$C$37/12,0)</f>
        <v/>
      </c>
      <c r="M37" s="35">
        <f>IF(11&gt;='1_Hypotheses'!$C$48,-'1_Hypotheses'!$C$36*'1_Hypotheses'!$C$37/12,0)</f>
        <v/>
      </c>
      <c r="N37" s="35">
        <f>IF(12&gt;='1_Hypotheses'!$C$48,-'1_Hypotheses'!$C$36*'1_Hypotheses'!$C$37/12,0)</f>
        <v/>
      </c>
      <c r="O37" s="35">
        <f>IF(13&gt;='1_Hypotheses'!$C$48,-'1_Hypotheses'!$C$36*'1_Hypotheses'!$C$37/12,0)</f>
        <v/>
      </c>
      <c r="P37" s="35">
        <f>IF(14&gt;='1_Hypotheses'!$C$48,-'1_Hypotheses'!$C$36*'1_Hypotheses'!$C$37/12,0)</f>
        <v/>
      </c>
      <c r="Q37" s="35">
        <f>IF(15&gt;='1_Hypotheses'!$C$48,-'1_Hypotheses'!$C$36*'1_Hypotheses'!$C$37/12,0)</f>
        <v/>
      </c>
      <c r="R37" s="35">
        <f>IF(16&gt;='1_Hypotheses'!$C$48,-'1_Hypotheses'!$C$36*'1_Hypotheses'!$C$37/12,0)</f>
        <v/>
      </c>
      <c r="S37" s="35">
        <f>IF(17&gt;='1_Hypotheses'!$C$48,-'1_Hypotheses'!$C$36*'1_Hypotheses'!$C$37/12,0)</f>
        <v/>
      </c>
      <c r="T37" s="35">
        <f>IF(18&gt;='1_Hypotheses'!$C$48,-'1_Hypotheses'!$C$36*'1_Hypotheses'!$C$37/12,0)</f>
        <v/>
      </c>
      <c r="U37" s="35">
        <f>IF(19&gt;='1_Hypotheses'!$C$48,-'1_Hypotheses'!$C$36*'1_Hypotheses'!$C$37/12,0)</f>
        <v/>
      </c>
      <c r="V37" s="35">
        <f>IF(20&gt;='1_Hypotheses'!$C$48,-'1_Hypotheses'!$C$36*'1_Hypotheses'!$C$37/12,0)</f>
        <v/>
      </c>
      <c r="W37" s="35">
        <f>IF(21&gt;='1_Hypotheses'!$C$48,-'1_Hypotheses'!$C$36*'1_Hypotheses'!$C$37/12,0)</f>
        <v/>
      </c>
      <c r="X37" s="35">
        <f>IF(22&gt;='1_Hypotheses'!$C$48,-'1_Hypotheses'!$C$36*'1_Hypotheses'!$C$37/12,0)</f>
        <v/>
      </c>
      <c r="Y37" s="35">
        <f>IF(23&gt;='1_Hypotheses'!$C$48,-'1_Hypotheses'!$C$36*'1_Hypotheses'!$C$37/12,0)</f>
        <v/>
      </c>
      <c r="Z37" s="35">
        <f>IF(24&gt;='1_Hypotheses'!$C$48,-'1_Hypotheses'!$C$36*'1_Hypotheses'!$C$37/12,0)</f>
        <v/>
      </c>
    </row>
    <row r="38">
      <c r="A38" s="41" t="inlineStr">
        <is>
          <t>Hébergement (production après bascule, environnements avant)</t>
        </is>
      </c>
      <c r="B38" s="22">
        <f>SUM(C38:Z38)</f>
        <v/>
      </c>
      <c r="C38" s="35">
        <f>IF(1&gt;='1_Hypotheses'!$C$48,-'1_Hypotheses'!$C$38,-'1_Hypotheses'!$C$41)</f>
        <v/>
      </c>
      <c r="D38" s="35">
        <f>IF(2&gt;='1_Hypotheses'!$C$48,-'1_Hypotheses'!$C$38,-'1_Hypotheses'!$C$41)</f>
        <v/>
      </c>
      <c r="E38" s="35">
        <f>IF(3&gt;='1_Hypotheses'!$C$48,-'1_Hypotheses'!$C$38,-'1_Hypotheses'!$C$41)</f>
        <v/>
      </c>
      <c r="F38" s="35">
        <f>IF(4&gt;='1_Hypotheses'!$C$48,-'1_Hypotheses'!$C$38,-'1_Hypotheses'!$C$41)</f>
        <v/>
      </c>
      <c r="G38" s="35">
        <f>IF(5&gt;='1_Hypotheses'!$C$48,-'1_Hypotheses'!$C$38,-'1_Hypotheses'!$C$41)</f>
        <v/>
      </c>
      <c r="H38" s="35">
        <f>IF(6&gt;='1_Hypotheses'!$C$48,-'1_Hypotheses'!$C$38,-'1_Hypotheses'!$C$41)</f>
        <v/>
      </c>
      <c r="I38" s="35">
        <f>IF(7&gt;='1_Hypotheses'!$C$48,-'1_Hypotheses'!$C$38,-'1_Hypotheses'!$C$41)</f>
        <v/>
      </c>
      <c r="J38" s="35">
        <f>IF(8&gt;='1_Hypotheses'!$C$48,-'1_Hypotheses'!$C$38,-'1_Hypotheses'!$C$41)</f>
        <v/>
      </c>
      <c r="K38" s="35">
        <f>IF(9&gt;='1_Hypotheses'!$C$48,-'1_Hypotheses'!$C$38,-'1_Hypotheses'!$C$41)</f>
        <v/>
      </c>
      <c r="L38" s="35">
        <f>IF(10&gt;='1_Hypotheses'!$C$48,-'1_Hypotheses'!$C$38,-'1_Hypotheses'!$C$41)</f>
        <v/>
      </c>
      <c r="M38" s="35">
        <f>IF(11&gt;='1_Hypotheses'!$C$48,-'1_Hypotheses'!$C$38,-'1_Hypotheses'!$C$41)</f>
        <v/>
      </c>
      <c r="N38" s="35">
        <f>IF(12&gt;='1_Hypotheses'!$C$48,-'1_Hypotheses'!$C$38,-'1_Hypotheses'!$C$41)</f>
        <v/>
      </c>
      <c r="O38" s="35">
        <f>IF(13&gt;='1_Hypotheses'!$C$48,-'1_Hypotheses'!$C$38,-'1_Hypotheses'!$C$41)</f>
        <v/>
      </c>
      <c r="P38" s="35">
        <f>IF(14&gt;='1_Hypotheses'!$C$48,-'1_Hypotheses'!$C$38,-'1_Hypotheses'!$C$41)</f>
        <v/>
      </c>
      <c r="Q38" s="35">
        <f>IF(15&gt;='1_Hypotheses'!$C$48,-'1_Hypotheses'!$C$38,-'1_Hypotheses'!$C$41)</f>
        <v/>
      </c>
      <c r="R38" s="35">
        <f>IF(16&gt;='1_Hypotheses'!$C$48,-'1_Hypotheses'!$C$38,-'1_Hypotheses'!$C$41)</f>
        <v/>
      </c>
      <c r="S38" s="35">
        <f>IF(17&gt;='1_Hypotheses'!$C$48,-'1_Hypotheses'!$C$38,-'1_Hypotheses'!$C$41)</f>
        <v/>
      </c>
      <c r="T38" s="35">
        <f>IF(18&gt;='1_Hypotheses'!$C$48,-'1_Hypotheses'!$C$38,-'1_Hypotheses'!$C$41)</f>
        <v/>
      </c>
      <c r="U38" s="35">
        <f>IF(19&gt;='1_Hypotheses'!$C$48,-'1_Hypotheses'!$C$38,-'1_Hypotheses'!$C$41)</f>
        <v/>
      </c>
      <c r="V38" s="35">
        <f>IF(20&gt;='1_Hypotheses'!$C$48,-'1_Hypotheses'!$C$38,-'1_Hypotheses'!$C$41)</f>
        <v/>
      </c>
      <c r="W38" s="35">
        <f>IF(21&gt;='1_Hypotheses'!$C$48,-'1_Hypotheses'!$C$38,-'1_Hypotheses'!$C$41)</f>
        <v/>
      </c>
      <c r="X38" s="35">
        <f>IF(22&gt;='1_Hypotheses'!$C$48,-'1_Hypotheses'!$C$38,-'1_Hypotheses'!$C$41)</f>
        <v/>
      </c>
      <c r="Y38" s="35">
        <f>IF(23&gt;='1_Hypotheses'!$C$48,-'1_Hypotheses'!$C$38,-'1_Hypotheses'!$C$41)</f>
        <v/>
      </c>
      <c r="Z38" s="35">
        <f>IF(24&gt;='1_Hypotheses'!$C$48,-'1_Hypotheses'!$C$38,-'1_Hypotheses'!$C$41)</f>
        <v/>
      </c>
    </row>
    <row r="39">
      <c r="A39" s="41" t="inlineStr">
        <is>
          <t>Support et modération</t>
        </is>
      </c>
      <c r="B39" s="22">
        <f>SUM(C39:Z39)</f>
        <v/>
      </c>
      <c r="C39" s="35">
        <f>IF(1&gt;='1_Hypotheses'!$C$48,-'1_Hypotheses'!$C$39,0)</f>
        <v/>
      </c>
      <c r="D39" s="35">
        <f>IF(2&gt;='1_Hypotheses'!$C$48,-'1_Hypotheses'!$C$39,0)</f>
        <v/>
      </c>
      <c r="E39" s="35">
        <f>IF(3&gt;='1_Hypotheses'!$C$48,-'1_Hypotheses'!$C$39,0)</f>
        <v/>
      </c>
      <c r="F39" s="35">
        <f>IF(4&gt;='1_Hypotheses'!$C$48,-'1_Hypotheses'!$C$39,0)</f>
        <v/>
      </c>
      <c r="G39" s="35">
        <f>IF(5&gt;='1_Hypotheses'!$C$48,-'1_Hypotheses'!$C$39,0)</f>
        <v/>
      </c>
      <c r="H39" s="35">
        <f>IF(6&gt;='1_Hypotheses'!$C$48,-'1_Hypotheses'!$C$39,0)</f>
        <v/>
      </c>
      <c r="I39" s="35">
        <f>IF(7&gt;='1_Hypotheses'!$C$48,-'1_Hypotheses'!$C$39,0)</f>
        <v/>
      </c>
      <c r="J39" s="35">
        <f>IF(8&gt;='1_Hypotheses'!$C$48,-'1_Hypotheses'!$C$39,0)</f>
        <v/>
      </c>
      <c r="K39" s="35">
        <f>IF(9&gt;='1_Hypotheses'!$C$48,-'1_Hypotheses'!$C$39,0)</f>
        <v/>
      </c>
      <c r="L39" s="35">
        <f>IF(10&gt;='1_Hypotheses'!$C$48,-'1_Hypotheses'!$C$39,0)</f>
        <v/>
      </c>
      <c r="M39" s="35">
        <f>IF(11&gt;='1_Hypotheses'!$C$48,-'1_Hypotheses'!$C$39,0)</f>
        <v/>
      </c>
      <c r="N39" s="35">
        <f>IF(12&gt;='1_Hypotheses'!$C$48,-'1_Hypotheses'!$C$39,0)</f>
        <v/>
      </c>
      <c r="O39" s="35">
        <f>IF(13&gt;='1_Hypotheses'!$C$48,-'1_Hypotheses'!$C$39,0)</f>
        <v/>
      </c>
      <c r="P39" s="35">
        <f>IF(14&gt;='1_Hypotheses'!$C$48,-'1_Hypotheses'!$C$39,0)</f>
        <v/>
      </c>
      <c r="Q39" s="35">
        <f>IF(15&gt;='1_Hypotheses'!$C$48,-'1_Hypotheses'!$C$39,0)</f>
        <v/>
      </c>
      <c r="R39" s="35">
        <f>IF(16&gt;='1_Hypotheses'!$C$48,-'1_Hypotheses'!$C$39,0)</f>
        <v/>
      </c>
      <c r="S39" s="35">
        <f>IF(17&gt;='1_Hypotheses'!$C$48,-'1_Hypotheses'!$C$39,0)</f>
        <v/>
      </c>
      <c r="T39" s="35">
        <f>IF(18&gt;='1_Hypotheses'!$C$48,-'1_Hypotheses'!$C$39,0)</f>
        <v/>
      </c>
      <c r="U39" s="35">
        <f>IF(19&gt;='1_Hypotheses'!$C$48,-'1_Hypotheses'!$C$39,0)</f>
        <v/>
      </c>
      <c r="V39" s="35">
        <f>IF(20&gt;='1_Hypotheses'!$C$48,-'1_Hypotheses'!$C$39,0)</f>
        <v/>
      </c>
      <c r="W39" s="35">
        <f>IF(21&gt;='1_Hypotheses'!$C$48,-'1_Hypotheses'!$C$39,0)</f>
        <v/>
      </c>
      <c r="X39" s="35">
        <f>IF(22&gt;='1_Hypotheses'!$C$48,-'1_Hypotheses'!$C$39,0)</f>
        <v/>
      </c>
      <c r="Y39" s="35">
        <f>IF(23&gt;='1_Hypotheses'!$C$48,-'1_Hypotheses'!$C$39,0)</f>
        <v/>
      </c>
      <c r="Z39" s="35">
        <f>IF(24&gt;='1_Hypotheses'!$C$48,-'1_Hypotheses'!$C$39,0)</f>
        <v/>
      </c>
    </row>
    <row r="40">
      <c r="A40" s="41" t="inlineStr">
        <is>
          <t>Communication et notoriété</t>
        </is>
      </c>
      <c r="B40" s="22">
        <f>SUM(C40:Z40)</f>
        <v/>
      </c>
      <c r="C40" s="35">
        <f>IF(1&gt;='1_Hypotheses'!$C$48,-'1_Hypotheses'!$C$40,0)</f>
        <v/>
      </c>
      <c r="D40" s="35">
        <f>IF(2&gt;='1_Hypotheses'!$C$48,-'1_Hypotheses'!$C$40,0)</f>
        <v/>
      </c>
      <c r="E40" s="35">
        <f>IF(3&gt;='1_Hypotheses'!$C$48,-'1_Hypotheses'!$C$40,0)</f>
        <v/>
      </c>
      <c r="F40" s="35">
        <f>IF(4&gt;='1_Hypotheses'!$C$48,-'1_Hypotheses'!$C$40,0)</f>
        <v/>
      </c>
      <c r="G40" s="35">
        <f>IF(5&gt;='1_Hypotheses'!$C$48,-'1_Hypotheses'!$C$40,0)</f>
        <v/>
      </c>
      <c r="H40" s="35">
        <f>IF(6&gt;='1_Hypotheses'!$C$48,-'1_Hypotheses'!$C$40,0)</f>
        <v/>
      </c>
      <c r="I40" s="35">
        <f>IF(7&gt;='1_Hypotheses'!$C$48,-'1_Hypotheses'!$C$40,0)</f>
        <v/>
      </c>
      <c r="J40" s="35">
        <f>IF(8&gt;='1_Hypotheses'!$C$48,-'1_Hypotheses'!$C$40,0)</f>
        <v/>
      </c>
      <c r="K40" s="35">
        <f>IF(9&gt;='1_Hypotheses'!$C$48,-'1_Hypotheses'!$C$40,0)</f>
        <v/>
      </c>
      <c r="L40" s="35">
        <f>IF(10&gt;='1_Hypotheses'!$C$48,-'1_Hypotheses'!$C$40,0)</f>
        <v/>
      </c>
      <c r="M40" s="35">
        <f>IF(11&gt;='1_Hypotheses'!$C$48,-'1_Hypotheses'!$C$40,0)</f>
        <v/>
      </c>
      <c r="N40" s="35">
        <f>IF(12&gt;='1_Hypotheses'!$C$48,-'1_Hypotheses'!$C$40,0)</f>
        <v/>
      </c>
      <c r="O40" s="35">
        <f>IF(13&gt;='1_Hypotheses'!$C$48,-'1_Hypotheses'!$C$40,0)</f>
        <v/>
      </c>
      <c r="P40" s="35">
        <f>IF(14&gt;='1_Hypotheses'!$C$48,-'1_Hypotheses'!$C$40,0)</f>
        <v/>
      </c>
      <c r="Q40" s="35">
        <f>IF(15&gt;='1_Hypotheses'!$C$48,-'1_Hypotheses'!$C$40,0)</f>
        <v/>
      </c>
      <c r="R40" s="35">
        <f>IF(16&gt;='1_Hypotheses'!$C$48,-'1_Hypotheses'!$C$40,0)</f>
        <v/>
      </c>
      <c r="S40" s="35">
        <f>IF(17&gt;='1_Hypotheses'!$C$48,-'1_Hypotheses'!$C$40,0)</f>
        <v/>
      </c>
      <c r="T40" s="35">
        <f>IF(18&gt;='1_Hypotheses'!$C$48,-'1_Hypotheses'!$C$40,0)</f>
        <v/>
      </c>
      <c r="U40" s="35">
        <f>IF(19&gt;='1_Hypotheses'!$C$48,-'1_Hypotheses'!$C$40,0)</f>
        <v/>
      </c>
      <c r="V40" s="35">
        <f>IF(20&gt;='1_Hypotheses'!$C$48,-'1_Hypotheses'!$C$40,0)</f>
        <v/>
      </c>
      <c r="W40" s="35">
        <f>IF(21&gt;='1_Hypotheses'!$C$48,-'1_Hypotheses'!$C$40,0)</f>
        <v/>
      </c>
      <c r="X40" s="35">
        <f>IF(22&gt;='1_Hypotheses'!$C$48,-'1_Hypotheses'!$C$40,0)</f>
        <v/>
      </c>
      <c r="Y40" s="35">
        <f>IF(23&gt;='1_Hypotheses'!$C$48,-'1_Hypotheses'!$C$40,0)</f>
        <v/>
      </c>
      <c r="Z40" s="35">
        <f>IF(24&gt;='1_Hypotheses'!$C$48,-'1_Hypotheses'!$C$40,0)</f>
        <v/>
      </c>
    </row>
    <row r="41">
      <c r="A41" s="45" t="inlineStr">
        <is>
          <t>TOTAL COUTS FIXES</t>
        </is>
      </c>
      <c r="B41" s="22">
        <f>SUM(C41:Z41)</f>
        <v/>
      </c>
      <c r="C41" s="22">
        <f>SUM(C37:C40)</f>
        <v/>
      </c>
      <c r="D41" s="22">
        <f>SUM(D37:D40)</f>
        <v/>
      </c>
      <c r="E41" s="22">
        <f>SUM(E37:E40)</f>
        <v/>
      </c>
      <c r="F41" s="22">
        <f>SUM(F37:F40)</f>
        <v/>
      </c>
      <c r="G41" s="22">
        <f>SUM(G37:G40)</f>
        <v/>
      </c>
      <c r="H41" s="22">
        <f>SUM(H37:H40)</f>
        <v/>
      </c>
      <c r="I41" s="22">
        <f>SUM(I37:I40)</f>
        <v/>
      </c>
      <c r="J41" s="22">
        <f>SUM(J37:J40)</f>
        <v/>
      </c>
      <c r="K41" s="22">
        <f>SUM(K37:K40)</f>
        <v/>
      </c>
      <c r="L41" s="22">
        <f>SUM(L37:L40)</f>
        <v/>
      </c>
      <c r="M41" s="22">
        <f>SUM(M37:M40)</f>
        <v/>
      </c>
      <c r="N41" s="22">
        <f>SUM(N37:N40)</f>
        <v/>
      </c>
      <c r="O41" s="22">
        <f>SUM(O37:O40)</f>
        <v/>
      </c>
      <c r="P41" s="22">
        <f>SUM(P37:P40)</f>
        <v/>
      </c>
      <c r="Q41" s="22">
        <f>SUM(Q37:Q40)</f>
        <v/>
      </c>
      <c r="R41" s="22">
        <f>SUM(R37:R40)</f>
        <v/>
      </c>
      <c r="S41" s="22">
        <f>SUM(S37:S40)</f>
        <v/>
      </c>
      <c r="T41" s="22">
        <f>SUM(T37:T40)</f>
        <v/>
      </c>
      <c r="U41" s="22">
        <f>SUM(U37:U40)</f>
        <v/>
      </c>
      <c r="V41" s="22">
        <f>SUM(V37:V40)</f>
        <v/>
      </c>
      <c r="W41" s="22">
        <f>SUM(W37:W40)</f>
        <v/>
      </c>
      <c r="X41" s="22">
        <f>SUM(X37:X40)</f>
        <v/>
      </c>
      <c r="Y41" s="22">
        <f>SUM(Y37:Y40)</f>
        <v/>
      </c>
      <c r="Z41" s="22">
        <f>SUM(Z37:Z40)</f>
        <v/>
      </c>
    </row>
    <row r="42">
      <c r="A42" s="4" t="inlineStr">
        <is>
          <t>INVESTISSEMENTS</t>
        </is>
      </c>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45" t="inlineStr">
        <is>
          <t>Build, industrialisation et reprise</t>
        </is>
      </c>
      <c r="B43" s="22">
        <f>SUM(C43:Z43)</f>
        <v/>
      </c>
      <c r="C43" s="22">
        <f>IF(1&lt;='1_Hypotheses'!$C$44,-'1_Hypotheses'!$C$43/'1_Hypotheses'!$C$44,0)</f>
        <v/>
      </c>
      <c r="D43" s="22">
        <f>IF(2&lt;='1_Hypotheses'!$C$44,-'1_Hypotheses'!$C$43/'1_Hypotheses'!$C$44,0)</f>
        <v/>
      </c>
      <c r="E43" s="22">
        <f>IF(3&lt;='1_Hypotheses'!$C$44,-'1_Hypotheses'!$C$43/'1_Hypotheses'!$C$44,0)</f>
        <v/>
      </c>
      <c r="F43" s="22">
        <f>IF(4&lt;='1_Hypotheses'!$C$44,-'1_Hypotheses'!$C$43/'1_Hypotheses'!$C$44,0)</f>
        <v/>
      </c>
      <c r="G43" s="22">
        <f>IF(5&lt;='1_Hypotheses'!$C$44,-'1_Hypotheses'!$C$43/'1_Hypotheses'!$C$44,0)</f>
        <v/>
      </c>
      <c r="H43" s="22">
        <f>IF(6&lt;='1_Hypotheses'!$C$44,-'1_Hypotheses'!$C$43/'1_Hypotheses'!$C$44,0)</f>
        <v/>
      </c>
      <c r="I43" s="22">
        <f>IF(7&lt;='1_Hypotheses'!$C$44,-'1_Hypotheses'!$C$43/'1_Hypotheses'!$C$44,0)</f>
        <v/>
      </c>
      <c r="J43" s="22">
        <f>IF(8&lt;='1_Hypotheses'!$C$44,-'1_Hypotheses'!$C$43/'1_Hypotheses'!$C$44,0)</f>
        <v/>
      </c>
      <c r="K43" s="22">
        <f>IF(9&lt;='1_Hypotheses'!$C$44,-'1_Hypotheses'!$C$43/'1_Hypotheses'!$C$44,0)</f>
        <v/>
      </c>
      <c r="L43" s="22">
        <f>IF(10&lt;='1_Hypotheses'!$C$44,-'1_Hypotheses'!$C$43/'1_Hypotheses'!$C$44,0)</f>
        <v/>
      </c>
      <c r="M43" s="22">
        <f>IF(11&lt;='1_Hypotheses'!$C$44,-'1_Hypotheses'!$C$43/'1_Hypotheses'!$C$44,0)</f>
        <v/>
      </c>
      <c r="N43" s="22">
        <f>IF(12&lt;='1_Hypotheses'!$C$44,-'1_Hypotheses'!$C$43/'1_Hypotheses'!$C$44,0)</f>
        <v/>
      </c>
      <c r="O43" s="22">
        <f>IF(13&lt;='1_Hypotheses'!$C$44,-'1_Hypotheses'!$C$43/'1_Hypotheses'!$C$44,0)</f>
        <v/>
      </c>
      <c r="P43" s="22">
        <f>IF(14&lt;='1_Hypotheses'!$C$44,-'1_Hypotheses'!$C$43/'1_Hypotheses'!$C$44,0)</f>
        <v/>
      </c>
      <c r="Q43" s="22">
        <f>IF(15&lt;='1_Hypotheses'!$C$44,-'1_Hypotheses'!$C$43/'1_Hypotheses'!$C$44,0)</f>
        <v/>
      </c>
      <c r="R43" s="22">
        <f>IF(16&lt;='1_Hypotheses'!$C$44,-'1_Hypotheses'!$C$43/'1_Hypotheses'!$C$44,0)</f>
        <v/>
      </c>
      <c r="S43" s="22">
        <f>IF(17&lt;='1_Hypotheses'!$C$44,-'1_Hypotheses'!$C$43/'1_Hypotheses'!$C$44,0)</f>
        <v/>
      </c>
      <c r="T43" s="22">
        <f>IF(18&lt;='1_Hypotheses'!$C$44,-'1_Hypotheses'!$C$43/'1_Hypotheses'!$C$44,0)</f>
        <v/>
      </c>
      <c r="U43" s="22">
        <f>IF(19&lt;='1_Hypotheses'!$C$44,-'1_Hypotheses'!$C$43/'1_Hypotheses'!$C$44,0)</f>
        <v/>
      </c>
      <c r="V43" s="22">
        <f>IF(20&lt;='1_Hypotheses'!$C$44,-'1_Hypotheses'!$C$43/'1_Hypotheses'!$C$44,0)</f>
        <v/>
      </c>
      <c r="W43" s="22">
        <f>IF(21&lt;='1_Hypotheses'!$C$44,-'1_Hypotheses'!$C$43/'1_Hypotheses'!$C$44,0)</f>
        <v/>
      </c>
      <c r="X43" s="22">
        <f>IF(22&lt;='1_Hypotheses'!$C$44,-'1_Hypotheses'!$C$43/'1_Hypotheses'!$C$44,0)</f>
        <v/>
      </c>
      <c r="Y43" s="22">
        <f>IF(23&lt;='1_Hypotheses'!$C$44,-'1_Hypotheses'!$C$43/'1_Hypotheses'!$C$44,0)</f>
        <v/>
      </c>
      <c r="Z43" s="22">
        <f>IF(24&lt;='1_Hypotheses'!$C$44,-'1_Hypotheses'!$C$43/'1_Hypotheses'!$C$44,0)</f>
        <v/>
      </c>
    </row>
    <row r="44">
      <c r="A44" s="4" t="inlineStr">
        <is>
          <t>RESULTAT ECONOMIQUE</t>
        </is>
      </c>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45" t="inlineStr">
        <is>
          <t>Résultat avant impôt</t>
        </is>
      </c>
      <c r="B45" s="22">
        <f>SUM(C45:Z45)</f>
        <v/>
      </c>
      <c r="C45" s="22">
        <f>C26+C35+C41+C43</f>
        <v/>
      </c>
      <c r="D45" s="22">
        <f>D26+D35+D41+D43</f>
        <v/>
      </c>
      <c r="E45" s="22">
        <f>E26+E35+E41+E43</f>
        <v/>
      </c>
      <c r="F45" s="22">
        <f>F26+F35+F41+F43</f>
        <v/>
      </c>
      <c r="G45" s="22">
        <f>G26+G35+G41+G43</f>
        <v/>
      </c>
      <c r="H45" s="22">
        <f>H26+H35+H41+H43</f>
        <v/>
      </c>
      <c r="I45" s="22">
        <f>I26+I35+I41+I43</f>
        <v/>
      </c>
      <c r="J45" s="22">
        <f>J26+J35+J41+J43</f>
        <v/>
      </c>
      <c r="K45" s="22">
        <f>K26+K35+K41+K43</f>
        <v/>
      </c>
      <c r="L45" s="22">
        <f>L26+L35+L41+L43</f>
        <v/>
      </c>
      <c r="M45" s="22">
        <f>M26+M35+M41+M43</f>
        <v/>
      </c>
      <c r="N45" s="22">
        <f>N26+N35+N41+N43</f>
        <v/>
      </c>
      <c r="O45" s="22">
        <f>O26+O35+O41+O43</f>
        <v/>
      </c>
      <c r="P45" s="22">
        <f>P26+P35+P41+P43</f>
        <v/>
      </c>
      <c r="Q45" s="22">
        <f>Q26+Q35+Q41+Q43</f>
        <v/>
      </c>
      <c r="R45" s="22">
        <f>R26+R35+R41+R43</f>
        <v/>
      </c>
      <c r="S45" s="22">
        <f>S26+S35+S41+S43</f>
        <v/>
      </c>
      <c r="T45" s="22">
        <f>T26+T35+T41+T43</f>
        <v/>
      </c>
      <c r="U45" s="22">
        <f>U26+U35+U41+U43</f>
        <v/>
      </c>
      <c r="V45" s="22">
        <f>V26+V35+V41+V43</f>
        <v/>
      </c>
      <c r="W45" s="22">
        <f>W26+W35+W41+W43</f>
        <v/>
      </c>
      <c r="X45" s="22">
        <f>X26+X35+X41+X43</f>
        <v/>
      </c>
      <c r="Y45" s="22">
        <f>Y26+Y35+Y41+Y43</f>
        <v/>
      </c>
      <c r="Z45" s="22">
        <f>Z26+Z35+Z41+Z43</f>
        <v/>
      </c>
    </row>
    <row r="46">
      <c r="A46" s="41" t="inlineStr">
        <is>
          <t>Résultat avant impôt cumulé</t>
        </is>
      </c>
      <c r="B46" s="22">
        <f>Z46</f>
        <v/>
      </c>
      <c r="C46" s="35">
        <f>C45</f>
        <v/>
      </c>
      <c r="D46" s="35">
        <f>C46+D45</f>
        <v/>
      </c>
      <c r="E46" s="35">
        <f>D46+E45</f>
        <v/>
      </c>
      <c r="F46" s="35">
        <f>E46+F45</f>
        <v/>
      </c>
      <c r="G46" s="35">
        <f>F46+G45</f>
        <v/>
      </c>
      <c r="H46" s="35">
        <f>G46+H45</f>
        <v/>
      </c>
      <c r="I46" s="35">
        <f>H46+I45</f>
        <v/>
      </c>
      <c r="J46" s="35">
        <f>I46+J45</f>
        <v/>
      </c>
      <c r="K46" s="35">
        <f>J46+K45</f>
        <v/>
      </c>
      <c r="L46" s="35">
        <f>K46+L45</f>
        <v/>
      </c>
      <c r="M46" s="35">
        <f>L46+M45</f>
        <v/>
      </c>
      <c r="N46" s="35">
        <f>M46+N45</f>
        <v/>
      </c>
      <c r="O46" s="35">
        <f>N46+O45</f>
        <v/>
      </c>
      <c r="P46" s="35">
        <f>O46+P45</f>
        <v/>
      </c>
      <c r="Q46" s="35">
        <f>P46+Q45</f>
        <v/>
      </c>
      <c r="R46" s="35">
        <f>Q46+R45</f>
        <v/>
      </c>
      <c r="S46" s="35">
        <f>R46+S45</f>
        <v/>
      </c>
      <c r="T46" s="35">
        <f>S46+T45</f>
        <v/>
      </c>
      <c r="U46" s="35">
        <f>T46+U45</f>
        <v/>
      </c>
      <c r="V46" s="35">
        <f>U46+V45</f>
        <v/>
      </c>
      <c r="W46" s="35">
        <f>V46+W45</f>
        <v/>
      </c>
      <c r="X46" s="35">
        <f>W46+X45</f>
        <v/>
      </c>
      <c r="Y46" s="35">
        <f>X46+Y45</f>
        <v/>
      </c>
      <c r="Z46" s="35">
        <f>Y46+Z45</f>
        <v/>
      </c>
    </row>
    <row r="47">
      <c r="A47" s="41" t="inlineStr">
        <is>
          <t>Impôt sur les sociétés (report des déficits appliqué)</t>
        </is>
      </c>
      <c r="B47" s="22">
        <f>SUM(C47:Z47)</f>
        <v/>
      </c>
      <c r="C47" s="35">
        <f>-IF(AND(C45&gt;0,C46&gt;0),'1_Hypotheses'!$C$46*MIN(C45,C46),0)</f>
        <v/>
      </c>
      <c r="D47" s="35">
        <f>-IF(AND(D45&gt;0,D46&gt;0),'1_Hypotheses'!$C$46*MIN(D45,D46),0)</f>
        <v/>
      </c>
      <c r="E47" s="35">
        <f>-IF(AND(E45&gt;0,E46&gt;0),'1_Hypotheses'!$C$46*MIN(E45,E46),0)</f>
        <v/>
      </c>
      <c r="F47" s="35">
        <f>-IF(AND(F45&gt;0,F46&gt;0),'1_Hypotheses'!$C$46*MIN(F45,F46),0)</f>
        <v/>
      </c>
      <c r="G47" s="35">
        <f>-IF(AND(G45&gt;0,G46&gt;0),'1_Hypotheses'!$C$46*MIN(G45,G46),0)</f>
        <v/>
      </c>
      <c r="H47" s="35">
        <f>-IF(AND(H45&gt;0,H46&gt;0),'1_Hypotheses'!$C$46*MIN(H45,H46),0)</f>
        <v/>
      </c>
      <c r="I47" s="35">
        <f>-IF(AND(I45&gt;0,I46&gt;0),'1_Hypotheses'!$C$46*MIN(I45,I46),0)</f>
        <v/>
      </c>
      <c r="J47" s="35">
        <f>-IF(AND(J45&gt;0,J46&gt;0),'1_Hypotheses'!$C$46*MIN(J45,J46),0)</f>
        <v/>
      </c>
      <c r="K47" s="35">
        <f>-IF(AND(K45&gt;0,K46&gt;0),'1_Hypotheses'!$C$46*MIN(K45,K46),0)</f>
        <v/>
      </c>
      <c r="L47" s="35">
        <f>-IF(AND(L45&gt;0,L46&gt;0),'1_Hypotheses'!$C$46*MIN(L45,L46),0)</f>
        <v/>
      </c>
      <c r="M47" s="35">
        <f>-IF(AND(M45&gt;0,M46&gt;0),'1_Hypotheses'!$C$46*MIN(M45,M46),0)</f>
        <v/>
      </c>
      <c r="N47" s="35">
        <f>-IF(AND(N45&gt;0,N46&gt;0),'1_Hypotheses'!$C$46*MIN(N45,N46),0)</f>
        <v/>
      </c>
      <c r="O47" s="35">
        <f>-IF(AND(O45&gt;0,O46&gt;0),'1_Hypotheses'!$C$46*MIN(O45,O46),0)</f>
        <v/>
      </c>
      <c r="P47" s="35">
        <f>-IF(AND(P45&gt;0,P46&gt;0),'1_Hypotheses'!$C$46*MIN(P45,P46),0)</f>
        <v/>
      </c>
      <c r="Q47" s="35">
        <f>-IF(AND(Q45&gt;0,Q46&gt;0),'1_Hypotheses'!$C$46*MIN(Q45,Q46),0)</f>
        <v/>
      </c>
      <c r="R47" s="35">
        <f>-IF(AND(R45&gt;0,R46&gt;0),'1_Hypotheses'!$C$46*MIN(R45,R46),0)</f>
        <v/>
      </c>
      <c r="S47" s="35">
        <f>-IF(AND(S45&gt;0,S46&gt;0),'1_Hypotheses'!$C$46*MIN(S45,S46),0)</f>
        <v/>
      </c>
      <c r="T47" s="35">
        <f>-IF(AND(T45&gt;0,T46&gt;0),'1_Hypotheses'!$C$46*MIN(T45,T46),0)</f>
        <v/>
      </c>
      <c r="U47" s="35">
        <f>-IF(AND(U45&gt;0,U46&gt;0),'1_Hypotheses'!$C$46*MIN(U45,U46),0)</f>
        <v/>
      </c>
      <c r="V47" s="35">
        <f>-IF(AND(V45&gt;0,V46&gt;0),'1_Hypotheses'!$C$46*MIN(V45,V46),0)</f>
        <v/>
      </c>
      <c r="W47" s="35">
        <f>-IF(AND(W45&gt;0,W46&gt;0),'1_Hypotheses'!$C$46*MIN(W45,W46),0)</f>
        <v/>
      </c>
      <c r="X47" s="35">
        <f>-IF(AND(X45&gt;0,X46&gt;0),'1_Hypotheses'!$C$46*MIN(X45,X46),0)</f>
        <v/>
      </c>
      <c r="Y47" s="35">
        <f>-IF(AND(Y45&gt;0,Y46&gt;0),'1_Hypotheses'!$C$46*MIN(Y45,Y46),0)</f>
        <v/>
      </c>
      <c r="Z47" s="35">
        <f>-IF(AND(Z45&gt;0,Z46&gt;0),'1_Hypotheses'!$C$46*MIN(Z45,Z46),0)</f>
        <v/>
      </c>
    </row>
    <row r="48">
      <c r="A48" s="45" t="inlineStr">
        <is>
          <t>RESULTAT NET MENSUEL</t>
        </is>
      </c>
      <c r="B48" s="26">
        <f>SUM(C48:Z48)</f>
        <v/>
      </c>
      <c r="C48" s="26">
        <f>C45+C47</f>
        <v/>
      </c>
      <c r="D48" s="26">
        <f>D45+D47</f>
        <v/>
      </c>
      <c r="E48" s="26">
        <f>E45+E47</f>
        <v/>
      </c>
      <c r="F48" s="26">
        <f>F45+F47</f>
        <v/>
      </c>
      <c r="G48" s="26">
        <f>G45+G47</f>
        <v/>
      </c>
      <c r="H48" s="26">
        <f>H45+H47</f>
        <v/>
      </c>
      <c r="I48" s="26">
        <f>I45+I47</f>
        <v/>
      </c>
      <c r="J48" s="26">
        <f>J45+J47</f>
        <v/>
      </c>
      <c r="K48" s="26">
        <f>K45+K47</f>
        <v/>
      </c>
      <c r="L48" s="26">
        <f>L45+L47</f>
        <v/>
      </c>
      <c r="M48" s="26">
        <f>M45+M47</f>
        <v/>
      </c>
      <c r="N48" s="26">
        <f>N45+N47</f>
        <v/>
      </c>
      <c r="O48" s="26">
        <f>O45+O47</f>
        <v/>
      </c>
      <c r="P48" s="26">
        <f>P45+P47</f>
        <v/>
      </c>
      <c r="Q48" s="26">
        <f>Q45+Q47</f>
        <v/>
      </c>
      <c r="R48" s="26">
        <f>R45+R47</f>
        <v/>
      </c>
      <c r="S48" s="26">
        <f>S45+S47</f>
        <v/>
      </c>
      <c r="T48" s="26">
        <f>T45+T47</f>
        <v/>
      </c>
      <c r="U48" s="26">
        <f>U45+U47</f>
        <v/>
      </c>
      <c r="V48" s="26">
        <f>V45+V47</f>
        <v/>
      </c>
      <c r="W48" s="26">
        <f>W45+W47</f>
        <v/>
      </c>
      <c r="X48" s="26">
        <f>X45+X47</f>
        <v/>
      </c>
      <c r="Y48" s="26">
        <f>Y45+Y47</f>
        <v/>
      </c>
      <c r="Z48" s="26">
        <f>Z45+Z47</f>
        <v/>
      </c>
    </row>
    <row r="49">
      <c r="A49" s="45" t="inlineStr">
        <is>
          <t>EQUILIBRE ECONOMIQUE CUMULE</t>
        </is>
      </c>
      <c r="B49" s="26">
        <f>Z49</f>
        <v/>
      </c>
      <c r="C49" s="26">
        <f>C48</f>
        <v/>
      </c>
      <c r="D49" s="26">
        <f>C49+D48</f>
        <v/>
      </c>
      <c r="E49" s="26">
        <f>D49+E48</f>
        <v/>
      </c>
      <c r="F49" s="26">
        <f>E49+F48</f>
        <v/>
      </c>
      <c r="G49" s="26">
        <f>F49+G48</f>
        <v/>
      </c>
      <c r="H49" s="26">
        <f>G49+H48</f>
        <v/>
      </c>
      <c r="I49" s="26">
        <f>H49+I48</f>
        <v/>
      </c>
      <c r="J49" s="26">
        <f>I49+J48</f>
        <v/>
      </c>
      <c r="K49" s="26">
        <f>J49+K48</f>
        <v/>
      </c>
      <c r="L49" s="26">
        <f>K49+L48</f>
        <v/>
      </c>
      <c r="M49" s="26">
        <f>L49+M48</f>
        <v/>
      </c>
      <c r="N49" s="26">
        <f>M49+N48</f>
        <v/>
      </c>
      <c r="O49" s="26">
        <f>N49+O48</f>
        <v/>
      </c>
      <c r="P49" s="26">
        <f>O49+P48</f>
        <v/>
      </c>
      <c r="Q49" s="26">
        <f>P49+Q48</f>
        <v/>
      </c>
      <c r="R49" s="26">
        <f>Q49+R48</f>
        <v/>
      </c>
      <c r="S49" s="26">
        <f>R49+S48</f>
        <v/>
      </c>
      <c r="T49" s="26">
        <f>S49+T48</f>
        <v/>
      </c>
      <c r="U49" s="26">
        <f>T49+U48</f>
        <v/>
      </c>
      <c r="V49" s="26">
        <f>U49+V48</f>
        <v/>
      </c>
      <c r="W49" s="26">
        <f>V49+W48</f>
        <v/>
      </c>
      <c r="X49" s="26">
        <f>W49+X48</f>
        <v/>
      </c>
      <c r="Y49" s="26">
        <f>X49+Y48</f>
        <v/>
      </c>
      <c r="Z49" s="26">
        <f>Y49+Z48</f>
        <v/>
      </c>
    </row>
    <row r="50">
      <c r="A50" s="41" t="inlineStr">
        <is>
          <t>Besoin de financement (point bas du cumul)</t>
        </is>
      </c>
      <c r="B50" s="47">
        <f>Z50</f>
        <v/>
      </c>
      <c r="C50" s="48">
        <f>MIN(0,MIN($C49:C49))</f>
        <v/>
      </c>
      <c r="D50" s="48">
        <f>MIN(0,MIN($C49:D49))</f>
        <v/>
      </c>
      <c r="E50" s="48">
        <f>MIN(0,MIN($C49:E49))</f>
        <v/>
      </c>
      <c r="F50" s="48">
        <f>MIN(0,MIN($C49:F49))</f>
        <v/>
      </c>
      <c r="G50" s="48">
        <f>MIN(0,MIN($C49:G49))</f>
        <v/>
      </c>
      <c r="H50" s="48">
        <f>MIN(0,MIN($C49:H49))</f>
        <v/>
      </c>
      <c r="I50" s="48">
        <f>MIN(0,MIN($C49:I49))</f>
        <v/>
      </c>
      <c r="J50" s="48">
        <f>MIN(0,MIN($C49:J49))</f>
        <v/>
      </c>
      <c r="K50" s="48">
        <f>MIN(0,MIN($C49:K49))</f>
        <v/>
      </c>
      <c r="L50" s="48">
        <f>MIN(0,MIN($C49:L49))</f>
        <v/>
      </c>
      <c r="M50" s="48">
        <f>MIN(0,MIN($C49:M49))</f>
        <v/>
      </c>
      <c r="N50" s="48">
        <f>MIN(0,MIN($C49:N49))</f>
        <v/>
      </c>
      <c r="O50" s="48">
        <f>MIN(0,MIN($C49:O49))</f>
        <v/>
      </c>
      <c r="P50" s="48">
        <f>MIN(0,MIN($C49:P49))</f>
        <v/>
      </c>
      <c r="Q50" s="48">
        <f>MIN(0,MIN($C49:Q49))</f>
        <v/>
      </c>
      <c r="R50" s="48">
        <f>MIN(0,MIN($C49:R49))</f>
        <v/>
      </c>
      <c r="S50" s="48">
        <f>MIN(0,MIN($C49:S49))</f>
        <v/>
      </c>
      <c r="T50" s="48">
        <f>MIN(0,MIN($C49:T49))</f>
        <v/>
      </c>
      <c r="U50" s="48">
        <f>MIN(0,MIN($C49:U49))</f>
        <v/>
      </c>
      <c r="V50" s="48">
        <f>MIN(0,MIN($C49:V49))</f>
        <v/>
      </c>
      <c r="W50" s="48">
        <f>MIN(0,MIN($C49:W49))</f>
        <v/>
      </c>
      <c r="X50" s="48">
        <f>MIN(0,MIN($C49:X49))</f>
        <v/>
      </c>
      <c r="Y50" s="48">
        <f>MIN(0,MIN($C49:Y49))</f>
        <v/>
      </c>
      <c r="Z50" s="48">
        <f>MIN(0,MIN($C49:Z49))</f>
        <v/>
      </c>
    </row>
    <row r="52">
      <c r="A52" s="3" t="inlineStr">
        <is>
          <t>Mémo TGC (neutre au résultat)</t>
        </is>
      </c>
      <c r="C52" s="49">
        <f>C20*'1_Hypotheses'!$C$47</f>
        <v/>
      </c>
      <c r="D52" s="49">
        <f>D20*'1_Hypotheses'!$C$47</f>
        <v/>
      </c>
      <c r="E52" s="49">
        <f>E20*'1_Hypotheses'!$C$47</f>
        <v/>
      </c>
      <c r="F52" s="49">
        <f>F20*'1_Hypotheses'!$C$47</f>
        <v/>
      </c>
      <c r="G52" s="49">
        <f>G20*'1_Hypotheses'!$C$47</f>
        <v/>
      </c>
      <c r="H52" s="49">
        <f>H20*'1_Hypotheses'!$C$47</f>
        <v/>
      </c>
      <c r="I52" s="49">
        <f>I20*'1_Hypotheses'!$C$47</f>
        <v/>
      </c>
      <c r="J52" s="49">
        <f>J20*'1_Hypotheses'!$C$47</f>
        <v/>
      </c>
      <c r="K52" s="49">
        <f>K20*'1_Hypotheses'!$C$47</f>
        <v/>
      </c>
      <c r="L52" s="49">
        <f>L20*'1_Hypotheses'!$C$47</f>
        <v/>
      </c>
      <c r="M52" s="49">
        <f>M20*'1_Hypotheses'!$C$47</f>
        <v/>
      </c>
      <c r="N52" s="49">
        <f>N20*'1_Hypotheses'!$C$47</f>
        <v/>
      </c>
      <c r="O52" s="49">
        <f>O20*'1_Hypotheses'!$C$47</f>
        <v/>
      </c>
      <c r="P52" s="49">
        <f>P20*'1_Hypotheses'!$C$47</f>
        <v/>
      </c>
      <c r="Q52" s="49">
        <f>Q20*'1_Hypotheses'!$C$47</f>
        <v/>
      </c>
      <c r="R52" s="49">
        <f>R20*'1_Hypotheses'!$C$47</f>
        <v/>
      </c>
      <c r="S52" s="49">
        <f>S20*'1_Hypotheses'!$C$47</f>
        <v/>
      </c>
      <c r="T52" s="49">
        <f>T20*'1_Hypotheses'!$C$47</f>
        <v/>
      </c>
      <c r="U52" s="49">
        <f>U20*'1_Hypotheses'!$C$47</f>
        <v/>
      </c>
      <c r="V52" s="49">
        <f>V20*'1_Hypotheses'!$C$47</f>
        <v/>
      </c>
      <c r="W52" s="49">
        <f>W20*'1_Hypotheses'!$C$47</f>
        <v/>
      </c>
      <c r="X52" s="49">
        <f>X20*'1_Hypotheses'!$C$47</f>
        <v/>
      </c>
      <c r="Y52" s="49">
        <f>Y20*'1_Hypotheses'!$C$47</f>
        <v/>
      </c>
      <c r="Z52" s="49">
        <f>Z20*'1_Hypotheses'!$C$47</f>
        <v/>
      </c>
    </row>
    <row r="54">
      <c r="A54" s="3" t="inlineStr">
        <is>
          <t>Marge contributive = chiffre d'affaires − coûts variables − reversements  (formule du dossier, section 6).</t>
        </is>
      </c>
    </row>
    <row r="55">
      <c r="A55" s="3" t="inlineStr">
        <is>
          <t>Equilibre économique = marge contributive + coûts évités − coûts fixes − investissements − fiscalité  (idem).</t>
        </is>
      </c>
    </row>
    <row r="56">
      <c r="A56" s="3" t="inlineStr">
        <is>
          <t>Les charges sont saisies en négatif : toutes les lignes s'additionnent, ce qui rend chaque total auditable.</t>
        </is>
      </c>
    </row>
    <row r="57">
      <c r="A57" s="3" t="inlineStr">
        <is>
          <t>La TGC est collectée puis reversée : elle n'affecte pas le résultat et figure pour mémoire.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c r="A1" s="1" t="inlineStr">
        <is>
          <t>COMPTE DE RESULTAT MENSUEL 24 MOIS - SCENARIO CENTRAL</t>
        </is>
      </c>
    </row>
    <row r="2">
      <c r="A2" s="3" t="inlineStr">
        <is>
          <t>Montants en XPF HT. Vue service Mobitag Nouvelle Génération (périmètre OPT-NC).</t>
        </is>
      </c>
    </row>
    <row r="3">
      <c r="A3" s="3" t="inlineStr">
        <is>
          <t>Aucune ligne de revenu issue de la vente de volume SMS au particulier.</t>
        </is>
      </c>
    </row>
    <row r="5">
      <c r="A5" s="39" t="inlineStr">
        <is>
          <t>Poste</t>
        </is>
      </c>
      <c r="B5" s="40" t="inlineStr">
        <is>
          <t>Total 24M</t>
        </is>
      </c>
      <c r="C5" s="40" t="inlineStr">
        <is>
          <t>M1</t>
        </is>
      </c>
      <c r="D5" s="40" t="inlineStr">
        <is>
          <t>M2</t>
        </is>
      </c>
      <c r="E5" s="40" t="inlineStr">
        <is>
          <t>M3</t>
        </is>
      </c>
      <c r="F5" s="40" t="inlineStr">
        <is>
          <t>M4</t>
        </is>
      </c>
      <c r="G5" s="40" t="inlineStr">
        <is>
          <t>M5</t>
        </is>
      </c>
      <c r="H5" s="40" t="inlineStr">
        <is>
          <t>M6</t>
        </is>
      </c>
      <c r="I5" s="40" t="inlineStr">
        <is>
          <t>M7</t>
        </is>
      </c>
      <c r="J5" s="40" t="inlineStr">
        <is>
          <t>M8</t>
        </is>
      </c>
      <c r="K5" s="40" t="inlineStr">
        <is>
          <t>M9</t>
        </is>
      </c>
      <c r="L5" s="40" t="inlineStr">
        <is>
          <t>M10</t>
        </is>
      </c>
      <c r="M5" s="40" t="inlineStr">
        <is>
          <t>M11</t>
        </is>
      </c>
      <c r="N5" s="40" t="inlineStr">
        <is>
          <t>M12</t>
        </is>
      </c>
      <c r="O5" s="40" t="inlineStr">
        <is>
          <t>M13</t>
        </is>
      </c>
      <c r="P5" s="40" t="inlineStr">
        <is>
          <t>M14</t>
        </is>
      </c>
      <c r="Q5" s="40" t="inlineStr">
        <is>
          <t>M15</t>
        </is>
      </c>
      <c r="R5" s="40" t="inlineStr">
        <is>
          <t>M16</t>
        </is>
      </c>
      <c r="S5" s="40" t="inlineStr">
        <is>
          <t>M17</t>
        </is>
      </c>
      <c r="T5" s="40" t="inlineStr">
        <is>
          <t>M18</t>
        </is>
      </c>
      <c r="U5" s="40" t="inlineStr">
        <is>
          <t>M19</t>
        </is>
      </c>
      <c r="V5" s="40" t="inlineStr">
        <is>
          <t>M20</t>
        </is>
      </c>
      <c r="W5" s="40" t="inlineStr">
        <is>
          <t>M21</t>
        </is>
      </c>
      <c r="X5" s="40" t="inlineStr">
        <is>
          <t>M22</t>
        </is>
      </c>
      <c r="Y5" s="40" t="inlineStr">
        <is>
          <t>M23</t>
        </is>
      </c>
      <c r="Z5" s="40" t="inlineStr">
        <is>
          <t>M24</t>
        </is>
      </c>
    </row>
    <row r="6">
      <c r="A6" s="4" t="inlineStr">
        <is>
          <t>VOLUMETRIE</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41" t="inlineStr">
        <is>
          <t>Utilisateurs actifs mensuels (MAU)</t>
        </is>
      </c>
      <c r="B7" s="42">
        <f>Z7</f>
        <v/>
      </c>
      <c r="C7" s="43">
        <f>'1_Hypotheses'!$D$7</f>
        <v/>
      </c>
      <c r="D7" s="43">
        <f>MIN('1_Hypotheses'!$D$9,C7*(1+'1_Hypotheses'!$D$8))</f>
        <v/>
      </c>
      <c r="E7" s="43">
        <f>MIN('1_Hypotheses'!$D$9,D7*(1+'1_Hypotheses'!$D$8))</f>
        <v/>
      </c>
      <c r="F7" s="43">
        <f>MIN('1_Hypotheses'!$D$9,E7*(1+'1_Hypotheses'!$D$8))</f>
        <v/>
      </c>
      <c r="G7" s="43">
        <f>MIN('1_Hypotheses'!$D$9,F7*(1+'1_Hypotheses'!$D$8))</f>
        <v/>
      </c>
      <c r="H7" s="43">
        <f>MIN('1_Hypotheses'!$D$9,G7*(1+'1_Hypotheses'!$D$8))</f>
        <v/>
      </c>
      <c r="I7" s="43">
        <f>MIN('1_Hypotheses'!$D$9,H7*(1+'1_Hypotheses'!$D$8))</f>
        <v/>
      </c>
      <c r="J7" s="43">
        <f>MIN('1_Hypotheses'!$D$9,I7*(1+'1_Hypotheses'!$D$8))</f>
        <v/>
      </c>
      <c r="K7" s="43">
        <f>MIN('1_Hypotheses'!$D$9,J7*(1+'1_Hypotheses'!$D$8))</f>
        <v/>
      </c>
      <c r="L7" s="43">
        <f>MIN('1_Hypotheses'!$D$9,K7*(1+'1_Hypotheses'!$D$8))</f>
        <v/>
      </c>
      <c r="M7" s="43">
        <f>MIN('1_Hypotheses'!$D$9,L7*(1+'1_Hypotheses'!$D$8))</f>
        <v/>
      </c>
      <c r="N7" s="43">
        <f>MIN('1_Hypotheses'!$D$9,M7*(1+'1_Hypotheses'!$D$8))</f>
        <v/>
      </c>
      <c r="O7" s="43">
        <f>MIN('1_Hypotheses'!$D$9,N7*(1+'1_Hypotheses'!$D$8))</f>
        <v/>
      </c>
      <c r="P7" s="43">
        <f>MIN('1_Hypotheses'!$D$9,O7*(1+'1_Hypotheses'!$D$8))</f>
        <v/>
      </c>
      <c r="Q7" s="43">
        <f>MIN('1_Hypotheses'!$D$9,P7*(1+'1_Hypotheses'!$D$8))</f>
        <v/>
      </c>
      <c r="R7" s="43">
        <f>MIN('1_Hypotheses'!$D$9,Q7*(1+'1_Hypotheses'!$D$8))</f>
        <v/>
      </c>
      <c r="S7" s="43">
        <f>MIN('1_Hypotheses'!$D$9,R7*(1+'1_Hypotheses'!$D$8))</f>
        <v/>
      </c>
      <c r="T7" s="43">
        <f>MIN('1_Hypotheses'!$D$9,S7*(1+'1_Hypotheses'!$D$8))</f>
        <v/>
      </c>
      <c r="U7" s="43">
        <f>MIN('1_Hypotheses'!$D$9,T7*(1+'1_Hypotheses'!$D$8))</f>
        <v/>
      </c>
      <c r="V7" s="43">
        <f>MIN('1_Hypotheses'!$D$9,U7*(1+'1_Hypotheses'!$D$8))</f>
        <v/>
      </c>
      <c r="W7" s="43">
        <f>MIN('1_Hypotheses'!$D$9,V7*(1+'1_Hypotheses'!$D$8))</f>
        <v/>
      </c>
      <c r="X7" s="43">
        <f>MIN('1_Hypotheses'!$D$9,W7*(1+'1_Hypotheses'!$D$8))</f>
        <v/>
      </c>
      <c r="Y7" s="43">
        <f>MIN('1_Hypotheses'!$D$9,X7*(1+'1_Hypotheses'!$D$8))</f>
        <v/>
      </c>
      <c r="Z7" s="43">
        <f>MIN('1_Hypotheses'!$D$9,Y7*(1+'1_Hypotheses'!$D$8))</f>
        <v/>
      </c>
    </row>
    <row r="8">
      <c r="A8" s="41" t="inlineStr">
        <is>
          <t>SMS gratuits envoyés</t>
        </is>
      </c>
      <c r="B8" s="42">
        <f>SUM(C8:Z8)</f>
        <v/>
      </c>
      <c r="C8" s="43">
        <f>C7*'1_Hypotheses'!$D$10</f>
        <v/>
      </c>
      <c r="D8" s="43">
        <f>D7*'1_Hypotheses'!$D$10</f>
        <v/>
      </c>
      <c r="E8" s="43">
        <f>E7*'1_Hypotheses'!$D$10</f>
        <v/>
      </c>
      <c r="F8" s="43">
        <f>F7*'1_Hypotheses'!$D$10</f>
        <v/>
      </c>
      <c r="G8" s="43">
        <f>G7*'1_Hypotheses'!$D$10</f>
        <v/>
      </c>
      <c r="H8" s="43">
        <f>H7*'1_Hypotheses'!$D$10</f>
        <v/>
      </c>
      <c r="I8" s="43">
        <f>I7*'1_Hypotheses'!$D$10</f>
        <v/>
      </c>
      <c r="J8" s="43">
        <f>J7*'1_Hypotheses'!$D$10</f>
        <v/>
      </c>
      <c r="K8" s="43">
        <f>K7*'1_Hypotheses'!$D$10</f>
        <v/>
      </c>
      <c r="L8" s="43">
        <f>L7*'1_Hypotheses'!$D$10</f>
        <v/>
      </c>
      <c r="M8" s="43">
        <f>M7*'1_Hypotheses'!$D$10</f>
        <v/>
      </c>
      <c r="N8" s="43">
        <f>N7*'1_Hypotheses'!$D$10</f>
        <v/>
      </c>
      <c r="O8" s="43">
        <f>O7*'1_Hypotheses'!$D$10</f>
        <v/>
      </c>
      <c r="P8" s="43">
        <f>P7*'1_Hypotheses'!$D$10</f>
        <v/>
      </c>
      <c r="Q8" s="43">
        <f>Q7*'1_Hypotheses'!$D$10</f>
        <v/>
      </c>
      <c r="R8" s="43">
        <f>R7*'1_Hypotheses'!$D$10</f>
        <v/>
      </c>
      <c r="S8" s="43">
        <f>S7*'1_Hypotheses'!$D$10</f>
        <v/>
      </c>
      <c r="T8" s="43">
        <f>T7*'1_Hypotheses'!$D$10</f>
        <v/>
      </c>
      <c r="U8" s="43">
        <f>U7*'1_Hypotheses'!$D$10</f>
        <v/>
      </c>
      <c r="V8" s="43">
        <f>V7*'1_Hypotheses'!$D$10</f>
        <v/>
      </c>
      <c r="W8" s="43">
        <f>W7*'1_Hypotheses'!$D$10</f>
        <v/>
      </c>
      <c r="X8" s="43">
        <f>X7*'1_Hypotheses'!$D$10</f>
        <v/>
      </c>
      <c r="Y8" s="43">
        <f>Y7*'1_Hypotheses'!$D$10</f>
        <v/>
      </c>
      <c r="Z8" s="43">
        <f>Z7*'1_Hypotheses'!$D$10</f>
        <v/>
      </c>
    </row>
    <row r="9">
      <c r="A9" s="41" t="inlineStr">
        <is>
          <t>Usages professionnels détectés</t>
        </is>
      </c>
      <c r="B9" s="44">
        <f>SUM(C9:Z9)</f>
        <v/>
      </c>
      <c r="C9" s="32">
        <f>C7*'1_Hypotheses'!$D$12</f>
        <v/>
      </c>
      <c r="D9" s="32">
        <f>D7*'1_Hypotheses'!$D$12</f>
        <v/>
      </c>
      <c r="E9" s="32">
        <f>E7*'1_Hypotheses'!$D$12</f>
        <v/>
      </c>
      <c r="F9" s="32">
        <f>F7*'1_Hypotheses'!$D$12</f>
        <v/>
      </c>
      <c r="G9" s="32">
        <f>G7*'1_Hypotheses'!$D$12</f>
        <v/>
      </c>
      <c r="H9" s="32">
        <f>H7*'1_Hypotheses'!$D$12</f>
        <v/>
      </c>
      <c r="I9" s="32">
        <f>I7*'1_Hypotheses'!$D$12</f>
        <v/>
      </c>
      <c r="J9" s="32">
        <f>J7*'1_Hypotheses'!$D$12</f>
        <v/>
      </c>
      <c r="K9" s="32">
        <f>K7*'1_Hypotheses'!$D$12</f>
        <v/>
      </c>
      <c r="L9" s="32">
        <f>L7*'1_Hypotheses'!$D$12</f>
        <v/>
      </c>
      <c r="M9" s="32">
        <f>M7*'1_Hypotheses'!$D$12</f>
        <v/>
      </c>
      <c r="N9" s="32">
        <f>N7*'1_Hypotheses'!$D$12</f>
        <v/>
      </c>
      <c r="O9" s="32">
        <f>O7*'1_Hypotheses'!$D$12</f>
        <v/>
      </c>
      <c r="P9" s="32">
        <f>P7*'1_Hypotheses'!$D$12</f>
        <v/>
      </c>
      <c r="Q9" s="32">
        <f>Q7*'1_Hypotheses'!$D$12</f>
        <v/>
      </c>
      <c r="R9" s="32">
        <f>R7*'1_Hypotheses'!$D$12</f>
        <v/>
      </c>
      <c r="S9" s="32">
        <f>S7*'1_Hypotheses'!$D$12</f>
        <v/>
      </c>
      <c r="T9" s="32">
        <f>T7*'1_Hypotheses'!$D$12</f>
        <v/>
      </c>
      <c r="U9" s="32">
        <f>U7*'1_Hypotheses'!$D$12</f>
        <v/>
      </c>
      <c r="V9" s="32">
        <f>V7*'1_Hypotheses'!$D$12</f>
        <v/>
      </c>
      <c r="W9" s="32">
        <f>W7*'1_Hypotheses'!$D$12</f>
        <v/>
      </c>
      <c r="X9" s="32">
        <f>X7*'1_Hypotheses'!$D$12</f>
        <v/>
      </c>
      <c r="Y9" s="32">
        <f>Y7*'1_Hypotheses'!$D$12</f>
        <v/>
      </c>
      <c r="Z9" s="32">
        <f>Z7*'1_Hypotheses'!$D$12</f>
        <v/>
      </c>
    </row>
    <row r="10">
      <c r="A10" s="41" t="inlineStr">
        <is>
          <t>Utilisateurs sans ligne active détectés</t>
        </is>
      </c>
      <c r="B10" s="42">
        <f>SUM(C10:Z10)</f>
        <v/>
      </c>
      <c r="C10" s="43">
        <f>C7*'1_Hypotheses'!$D$20</f>
        <v/>
      </c>
      <c r="D10" s="43">
        <f>D7*'1_Hypotheses'!$D$20</f>
        <v/>
      </c>
      <c r="E10" s="43">
        <f>E7*'1_Hypotheses'!$D$20</f>
        <v/>
      </c>
      <c r="F10" s="43">
        <f>F7*'1_Hypotheses'!$D$20</f>
        <v/>
      </c>
      <c r="G10" s="43">
        <f>G7*'1_Hypotheses'!$D$20</f>
        <v/>
      </c>
      <c r="H10" s="43">
        <f>H7*'1_Hypotheses'!$D$20</f>
        <v/>
      </c>
      <c r="I10" s="43">
        <f>I7*'1_Hypotheses'!$D$20</f>
        <v/>
      </c>
      <c r="J10" s="43">
        <f>J7*'1_Hypotheses'!$D$20</f>
        <v/>
      </c>
      <c r="K10" s="43">
        <f>K7*'1_Hypotheses'!$D$20</f>
        <v/>
      </c>
      <c r="L10" s="43">
        <f>L7*'1_Hypotheses'!$D$20</f>
        <v/>
      </c>
      <c r="M10" s="43">
        <f>M7*'1_Hypotheses'!$D$20</f>
        <v/>
      </c>
      <c r="N10" s="43">
        <f>N7*'1_Hypotheses'!$D$20</f>
        <v/>
      </c>
      <c r="O10" s="43">
        <f>O7*'1_Hypotheses'!$D$20</f>
        <v/>
      </c>
      <c r="P10" s="43">
        <f>P7*'1_Hypotheses'!$D$20</f>
        <v/>
      </c>
      <c r="Q10" s="43">
        <f>Q7*'1_Hypotheses'!$D$20</f>
        <v/>
      </c>
      <c r="R10" s="43">
        <f>R7*'1_Hypotheses'!$D$20</f>
        <v/>
      </c>
      <c r="S10" s="43">
        <f>S7*'1_Hypotheses'!$D$20</f>
        <v/>
      </c>
      <c r="T10" s="43">
        <f>T7*'1_Hypotheses'!$D$20</f>
        <v/>
      </c>
      <c r="U10" s="43">
        <f>U7*'1_Hypotheses'!$D$20</f>
        <v/>
      </c>
      <c r="V10" s="43">
        <f>V7*'1_Hypotheses'!$D$20</f>
        <v/>
      </c>
      <c r="W10" s="43">
        <f>W7*'1_Hypotheses'!$D$20</f>
        <v/>
      </c>
      <c r="X10" s="43">
        <f>X7*'1_Hypotheses'!$D$20</f>
        <v/>
      </c>
      <c r="Y10" s="43">
        <f>Y7*'1_Hypotheses'!$D$20</f>
        <v/>
      </c>
      <c r="Z10" s="43">
        <f>Z7*'1_Hypotheses'!$D$20</f>
        <v/>
      </c>
    </row>
    <row r="11">
      <c r="A11" s="4" t="inlineStr">
        <is>
          <t>APPORTS D'AFFAIRES - CONSTITUTION DES STOCKS</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41" t="inlineStr">
        <is>
          <t>Nouveaux clients Helia PRO apportés</t>
        </is>
      </c>
      <c r="B12" s="44">
        <f>SUM(C12:Z12)</f>
        <v/>
      </c>
      <c r="C12" s="32">
        <f>IF(1&gt;='1_Hypotheses'!$D$18,C9*'1_Hypotheses'!$D$13*'1_Hypotheses'!$D$14,0)</f>
        <v/>
      </c>
      <c r="D12" s="32">
        <f>IF(2&gt;='1_Hypotheses'!$D$18,D9*'1_Hypotheses'!$D$13*'1_Hypotheses'!$D$14,0)</f>
        <v/>
      </c>
      <c r="E12" s="32">
        <f>IF(3&gt;='1_Hypotheses'!$D$18,E9*'1_Hypotheses'!$D$13*'1_Hypotheses'!$D$14,0)</f>
        <v/>
      </c>
      <c r="F12" s="32">
        <f>IF(4&gt;='1_Hypotheses'!$D$18,F9*'1_Hypotheses'!$D$13*'1_Hypotheses'!$D$14,0)</f>
        <v/>
      </c>
      <c r="G12" s="32">
        <f>IF(5&gt;='1_Hypotheses'!$D$18,G9*'1_Hypotheses'!$D$13*'1_Hypotheses'!$D$14,0)</f>
        <v/>
      </c>
      <c r="H12" s="32">
        <f>IF(6&gt;='1_Hypotheses'!$D$18,H9*'1_Hypotheses'!$D$13*'1_Hypotheses'!$D$14,0)</f>
        <v/>
      </c>
      <c r="I12" s="32">
        <f>IF(7&gt;='1_Hypotheses'!$D$18,I9*'1_Hypotheses'!$D$13*'1_Hypotheses'!$D$14,0)</f>
        <v/>
      </c>
      <c r="J12" s="32">
        <f>IF(8&gt;='1_Hypotheses'!$D$18,J9*'1_Hypotheses'!$D$13*'1_Hypotheses'!$D$14,0)</f>
        <v/>
      </c>
      <c r="K12" s="32">
        <f>IF(9&gt;='1_Hypotheses'!$D$18,K9*'1_Hypotheses'!$D$13*'1_Hypotheses'!$D$14,0)</f>
        <v/>
      </c>
      <c r="L12" s="32">
        <f>IF(10&gt;='1_Hypotheses'!$D$18,L9*'1_Hypotheses'!$D$13*'1_Hypotheses'!$D$14,0)</f>
        <v/>
      </c>
      <c r="M12" s="32">
        <f>IF(11&gt;='1_Hypotheses'!$D$18,M9*'1_Hypotheses'!$D$13*'1_Hypotheses'!$D$14,0)</f>
        <v/>
      </c>
      <c r="N12" s="32">
        <f>IF(12&gt;='1_Hypotheses'!$D$18,N9*'1_Hypotheses'!$D$13*'1_Hypotheses'!$D$14,0)</f>
        <v/>
      </c>
      <c r="O12" s="32">
        <f>IF(13&gt;='1_Hypotheses'!$D$18,O9*'1_Hypotheses'!$D$13*'1_Hypotheses'!$D$14,0)</f>
        <v/>
      </c>
      <c r="P12" s="32">
        <f>IF(14&gt;='1_Hypotheses'!$D$18,P9*'1_Hypotheses'!$D$13*'1_Hypotheses'!$D$14,0)</f>
        <v/>
      </c>
      <c r="Q12" s="32">
        <f>IF(15&gt;='1_Hypotheses'!$D$18,Q9*'1_Hypotheses'!$D$13*'1_Hypotheses'!$D$14,0)</f>
        <v/>
      </c>
      <c r="R12" s="32">
        <f>IF(16&gt;='1_Hypotheses'!$D$18,R9*'1_Hypotheses'!$D$13*'1_Hypotheses'!$D$14,0)</f>
        <v/>
      </c>
      <c r="S12" s="32">
        <f>IF(17&gt;='1_Hypotheses'!$D$18,S9*'1_Hypotheses'!$D$13*'1_Hypotheses'!$D$14,0)</f>
        <v/>
      </c>
      <c r="T12" s="32">
        <f>IF(18&gt;='1_Hypotheses'!$D$18,T9*'1_Hypotheses'!$D$13*'1_Hypotheses'!$D$14,0)</f>
        <v/>
      </c>
      <c r="U12" s="32">
        <f>IF(19&gt;='1_Hypotheses'!$D$18,U9*'1_Hypotheses'!$D$13*'1_Hypotheses'!$D$14,0)</f>
        <v/>
      </c>
      <c r="V12" s="32">
        <f>IF(20&gt;='1_Hypotheses'!$D$18,V9*'1_Hypotheses'!$D$13*'1_Hypotheses'!$D$14,0)</f>
        <v/>
      </c>
      <c r="W12" s="32">
        <f>IF(21&gt;='1_Hypotheses'!$D$18,W9*'1_Hypotheses'!$D$13*'1_Hypotheses'!$D$14,0)</f>
        <v/>
      </c>
      <c r="X12" s="32">
        <f>IF(22&gt;='1_Hypotheses'!$D$18,X9*'1_Hypotheses'!$D$13*'1_Hypotheses'!$D$14,0)</f>
        <v/>
      </c>
      <c r="Y12" s="32">
        <f>IF(23&gt;='1_Hypotheses'!$D$18,Y9*'1_Hypotheses'!$D$13*'1_Hypotheses'!$D$14,0)</f>
        <v/>
      </c>
      <c r="Z12" s="32">
        <f>IF(24&gt;='1_Hypotheses'!$D$18,Z9*'1_Hypotheses'!$D$13*'1_Hypotheses'!$D$14,0)</f>
        <v/>
      </c>
    </row>
    <row r="13">
      <c r="A13" s="41" t="inlineStr">
        <is>
          <t>Stock de clients Helia PRO apportés</t>
        </is>
      </c>
      <c r="B13" s="44">
        <f>Z13</f>
        <v/>
      </c>
      <c r="C13" s="32">
        <f>C12</f>
        <v/>
      </c>
      <c r="D13" s="32">
        <f>C13*(1-'1_Hypotheses'!$D$17)+D12</f>
        <v/>
      </c>
      <c r="E13" s="32">
        <f>D13*(1-'1_Hypotheses'!$D$17)+E12</f>
        <v/>
      </c>
      <c r="F13" s="32">
        <f>E13*(1-'1_Hypotheses'!$D$17)+F12</f>
        <v/>
      </c>
      <c r="G13" s="32">
        <f>F13*(1-'1_Hypotheses'!$D$17)+G12</f>
        <v/>
      </c>
      <c r="H13" s="32">
        <f>G13*(1-'1_Hypotheses'!$D$17)+H12</f>
        <v/>
      </c>
      <c r="I13" s="32">
        <f>H13*(1-'1_Hypotheses'!$D$17)+I12</f>
        <v/>
      </c>
      <c r="J13" s="32">
        <f>I13*(1-'1_Hypotheses'!$D$17)+J12</f>
        <v/>
      </c>
      <c r="K13" s="32">
        <f>J13*(1-'1_Hypotheses'!$D$17)+K12</f>
        <v/>
      </c>
      <c r="L13" s="32">
        <f>K13*(1-'1_Hypotheses'!$D$17)+L12</f>
        <v/>
      </c>
      <c r="M13" s="32">
        <f>L13*(1-'1_Hypotheses'!$D$17)+M12</f>
        <v/>
      </c>
      <c r="N13" s="32">
        <f>M13*(1-'1_Hypotheses'!$D$17)+N12</f>
        <v/>
      </c>
      <c r="O13" s="32">
        <f>N13*(1-'1_Hypotheses'!$D$17)+O12</f>
        <v/>
      </c>
      <c r="P13" s="32">
        <f>O13*(1-'1_Hypotheses'!$D$17)+P12</f>
        <v/>
      </c>
      <c r="Q13" s="32">
        <f>P13*(1-'1_Hypotheses'!$D$17)+Q12</f>
        <v/>
      </c>
      <c r="R13" s="32">
        <f>Q13*(1-'1_Hypotheses'!$D$17)+R12</f>
        <v/>
      </c>
      <c r="S13" s="32">
        <f>R13*(1-'1_Hypotheses'!$D$17)+S12</f>
        <v/>
      </c>
      <c r="T13" s="32">
        <f>S13*(1-'1_Hypotheses'!$D$17)+T12</f>
        <v/>
      </c>
      <c r="U13" s="32">
        <f>T13*(1-'1_Hypotheses'!$D$17)+U12</f>
        <v/>
      </c>
      <c r="V13" s="32">
        <f>U13*(1-'1_Hypotheses'!$D$17)+V12</f>
        <v/>
      </c>
      <c r="W13" s="32">
        <f>V13*(1-'1_Hypotheses'!$D$17)+W12</f>
        <v/>
      </c>
      <c r="X13" s="32">
        <f>W13*(1-'1_Hypotheses'!$D$17)+X12</f>
        <v/>
      </c>
      <c r="Y13" s="32">
        <f>X13*(1-'1_Hypotheses'!$D$17)+Y12</f>
        <v/>
      </c>
      <c r="Z13" s="32">
        <f>Y13*(1-'1_Hypotheses'!$D$17)+Z12</f>
        <v/>
      </c>
    </row>
    <row r="14">
      <c r="A14" s="41" t="inlineStr">
        <is>
          <t>Nouvelles lignes grand public activées</t>
        </is>
      </c>
      <c r="B14" s="44">
        <f>SUM(C14:Z14)</f>
        <v/>
      </c>
      <c r="C14" s="32">
        <f>IF(1&gt;='1_Hypotheses'!$D$26,C10*'1_Hypotheses'!$D$21*'1_Hypotheses'!$D$22,0)</f>
        <v/>
      </c>
      <c r="D14" s="32">
        <f>IF(2&gt;='1_Hypotheses'!$D$26,D10*'1_Hypotheses'!$D$21*'1_Hypotheses'!$D$22,0)</f>
        <v/>
      </c>
      <c r="E14" s="32">
        <f>IF(3&gt;='1_Hypotheses'!$D$26,E10*'1_Hypotheses'!$D$21*'1_Hypotheses'!$D$22,0)</f>
        <v/>
      </c>
      <c r="F14" s="32">
        <f>IF(4&gt;='1_Hypotheses'!$D$26,F10*'1_Hypotheses'!$D$21*'1_Hypotheses'!$D$22,0)</f>
        <v/>
      </c>
      <c r="G14" s="32">
        <f>IF(5&gt;='1_Hypotheses'!$D$26,G10*'1_Hypotheses'!$D$21*'1_Hypotheses'!$D$22,0)</f>
        <v/>
      </c>
      <c r="H14" s="32">
        <f>IF(6&gt;='1_Hypotheses'!$D$26,H10*'1_Hypotheses'!$D$21*'1_Hypotheses'!$D$22,0)</f>
        <v/>
      </c>
      <c r="I14" s="32">
        <f>IF(7&gt;='1_Hypotheses'!$D$26,I10*'1_Hypotheses'!$D$21*'1_Hypotheses'!$D$22,0)</f>
        <v/>
      </c>
      <c r="J14" s="32">
        <f>IF(8&gt;='1_Hypotheses'!$D$26,J10*'1_Hypotheses'!$D$21*'1_Hypotheses'!$D$22,0)</f>
        <v/>
      </c>
      <c r="K14" s="32">
        <f>IF(9&gt;='1_Hypotheses'!$D$26,K10*'1_Hypotheses'!$D$21*'1_Hypotheses'!$D$22,0)</f>
        <v/>
      </c>
      <c r="L14" s="32">
        <f>IF(10&gt;='1_Hypotheses'!$D$26,L10*'1_Hypotheses'!$D$21*'1_Hypotheses'!$D$22,0)</f>
        <v/>
      </c>
      <c r="M14" s="32">
        <f>IF(11&gt;='1_Hypotheses'!$D$26,M10*'1_Hypotheses'!$D$21*'1_Hypotheses'!$D$22,0)</f>
        <v/>
      </c>
      <c r="N14" s="32">
        <f>IF(12&gt;='1_Hypotheses'!$D$26,N10*'1_Hypotheses'!$D$21*'1_Hypotheses'!$D$22,0)</f>
        <v/>
      </c>
      <c r="O14" s="32">
        <f>IF(13&gt;='1_Hypotheses'!$D$26,O10*'1_Hypotheses'!$D$21*'1_Hypotheses'!$D$22,0)</f>
        <v/>
      </c>
      <c r="P14" s="32">
        <f>IF(14&gt;='1_Hypotheses'!$D$26,P10*'1_Hypotheses'!$D$21*'1_Hypotheses'!$D$22,0)</f>
        <v/>
      </c>
      <c r="Q14" s="32">
        <f>IF(15&gt;='1_Hypotheses'!$D$26,Q10*'1_Hypotheses'!$D$21*'1_Hypotheses'!$D$22,0)</f>
        <v/>
      </c>
      <c r="R14" s="32">
        <f>IF(16&gt;='1_Hypotheses'!$D$26,R10*'1_Hypotheses'!$D$21*'1_Hypotheses'!$D$22,0)</f>
        <v/>
      </c>
      <c r="S14" s="32">
        <f>IF(17&gt;='1_Hypotheses'!$D$26,S10*'1_Hypotheses'!$D$21*'1_Hypotheses'!$D$22,0)</f>
        <v/>
      </c>
      <c r="T14" s="32">
        <f>IF(18&gt;='1_Hypotheses'!$D$26,T10*'1_Hypotheses'!$D$21*'1_Hypotheses'!$D$22,0)</f>
        <v/>
      </c>
      <c r="U14" s="32">
        <f>IF(19&gt;='1_Hypotheses'!$D$26,U10*'1_Hypotheses'!$D$21*'1_Hypotheses'!$D$22,0)</f>
        <v/>
      </c>
      <c r="V14" s="32">
        <f>IF(20&gt;='1_Hypotheses'!$D$26,V10*'1_Hypotheses'!$D$21*'1_Hypotheses'!$D$22,0)</f>
        <v/>
      </c>
      <c r="W14" s="32">
        <f>IF(21&gt;='1_Hypotheses'!$D$26,W10*'1_Hypotheses'!$D$21*'1_Hypotheses'!$D$22,0)</f>
        <v/>
      </c>
      <c r="X14" s="32">
        <f>IF(22&gt;='1_Hypotheses'!$D$26,X10*'1_Hypotheses'!$D$21*'1_Hypotheses'!$D$22,0)</f>
        <v/>
      </c>
      <c r="Y14" s="32">
        <f>IF(23&gt;='1_Hypotheses'!$D$26,Y10*'1_Hypotheses'!$D$21*'1_Hypotheses'!$D$22,0)</f>
        <v/>
      </c>
      <c r="Z14" s="32">
        <f>IF(24&gt;='1_Hypotheses'!$D$26,Z10*'1_Hypotheses'!$D$21*'1_Hypotheses'!$D$22,0)</f>
        <v/>
      </c>
    </row>
    <row r="15">
      <c r="A15" s="41" t="inlineStr">
        <is>
          <t>Stock de lignes grand public apportées</t>
        </is>
      </c>
      <c r="B15" s="44">
        <f>Z15</f>
        <v/>
      </c>
      <c r="C15" s="32">
        <f>C14</f>
        <v/>
      </c>
      <c r="D15" s="32">
        <f>C15*(1-'1_Hypotheses'!$D$25)+D14</f>
        <v/>
      </c>
      <c r="E15" s="32">
        <f>D15*(1-'1_Hypotheses'!$D$25)+E14</f>
        <v/>
      </c>
      <c r="F15" s="32">
        <f>E15*(1-'1_Hypotheses'!$D$25)+F14</f>
        <v/>
      </c>
      <c r="G15" s="32">
        <f>F15*(1-'1_Hypotheses'!$D$25)+G14</f>
        <v/>
      </c>
      <c r="H15" s="32">
        <f>G15*(1-'1_Hypotheses'!$D$25)+H14</f>
        <v/>
      </c>
      <c r="I15" s="32">
        <f>H15*(1-'1_Hypotheses'!$D$25)+I14</f>
        <v/>
      </c>
      <c r="J15" s="32">
        <f>I15*(1-'1_Hypotheses'!$D$25)+J14</f>
        <v/>
      </c>
      <c r="K15" s="32">
        <f>J15*(1-'1_Hypotheses'!$D$25)+K14</f>
        <v/>
      </c>
      <c r="L15" s="32">
        <f>K15*(1-'1_Hypotheses'!$D$25)+L14</f>
        <v/>
      </c>
      <c r="M15" s="32">
        <f>L15*(1-'1_Hypotheses'!$D$25)+M14</f>
        <v/>
      </c>
      <c r="N15" s="32">
        <f>M15*(1-'1_Hypotheses'!$D$25)+N14</f>
        <v/>
      </c>
      <c r="O15" s="32">
        <f>N15*(1-'1_Hypotheses'!$D$25)+O14</f>
        <v/>
      </c>
      <c r="P15" s="32">
        <f>O15*(1-'1_Hypotheses'!$D$25)+P14</f>
        <v/>
      </c>
      <c r="Q15" s="32">
        <f>P15*(1-'1_Hypotheses'!$D$25)+Q14</f>
        <v/>
      </c>
      <c r="R15" s="32">
        <f>Q15*(1-'1_Hypotheses'!$D$25)+R14</f>
        <v/>
      </c>
      <c r="S15" s="32">
        <f>R15*(1-'1_Hypotheses'!$D$25)+S14</f>
        <v/>
      </c>
      <c r="T15" s="32">
        <f>S15*(1-'1_Hypotheses'!$D$25)+T14</f>
        <v/>
      </c>
      <c r="U15" s="32">
        <f>T15*(1-'1_Hypotheses'!$D$25)+U14</f>
        <v/>
      </c>
      <c r="V15" s="32">
        <f>U15*(1-'1_Hypotheses'!$D$25)+V14</f>
        <v/>
      </c>
      <c r="W15" s="32">
        <f>V15*(1-'1_Hypotheses'!$D$25)+W14</f>
        <v/>
      </c>
      <c r="X15" s="32">
        <f>W15*(1-'1_Hypotheses'!$D$25)+X14</f>
        <v/>
      </c>
      <c r="Y15" s="32">
        <f>X15*(1-'1_Hypotheses'!$D$25)+Y14</f>
        <v/>
      </c>
      <c r="Z15" s="32">
        <f>Y15*(1-'1_Hypotheses'!$D$25)+Z14</f>
        <v/>
      </c>
    </row>
    <row r="16">
      <c r="A16" s="4" t="inlineStr">
        <is>
          <t>CHIFFRE D'AFFAIRES / VALEUR CREEE</t>
        </is>
      </c>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41" t="inlineStr">
        <is>
          <t>Apport d'affaires B2B - Helia PRO</t>
        </is>
      </c>
      <c r="B17" s="22">
        <f>SUM(C17:Z17)</f>
        <v/>
      </c>
      <c r="C17" s="35">
        <f>C13*'1_Hypotheses'!$D$15/12*'1_Hypotheses'!$D$16</f>
        <v/>
      </c>
      <c r="D17" s="35">
        <f>D13*'1_Hypotheses'!$D$15/12*'1_Hypotheses'!$D$16</f>
        <v/>
      </c>
      <c r="E17" s="35">
        <f>E13*'1_Hypotheses'!$D$15/12*'1_Hypotheses'!$D$16</f>
        <v/>
      </c>
      <c r="F17" s="35">
        <f>F13*'1_Hypotheses'!$D$15/12*'1_Hypotheses'!$D$16</f>
        <v/>
      </c>
      <c r="G17" s="35">
        <f>G13*'1_Hypotheses'!$D$15/12*'1_Hypotheses'!$D$16</f>
        <v/>
      </c>
      <c r="H17" s="35">
        <f>H13*'1_Hypotheses'!$D$15/12*'1_Hypotheses'!$D$16</f>
        <v/>
      </c>
      <c r="I17" s="35">
        <f>I13*'1_Hypotheses'!$D$15/12*'1_Hypotheses'!$D$16</f>
        <v/>
      </c>
      <c r="J17" s="35">
        <f>J13*'1_Hypotheses'!$D$15/12*'1_Hypotheses'!$D$16</f>
        <v/>
      </c>
      <c r="K17" s="35">
        <f>K13*'1_Hypotheses'!$D$15/12*'1_Hypotheses'!$D$16</f>
        <v/>
      </c>
      <c r="L17" s="35">
        <f>L13*'1_Hypotheses'!$D$15/12*'1_Hypotheses'!$D$16</f>
        <v/>
      </c>
      <c r="M17" s="35">
        <f>M13*'1_Hypotheses'!$D$15/12*'1_Hypotheses'!$D$16</f>
        <v/>
      </c>
      <c r="N17" s="35">
        <f>N13*'1_Hypotheses'!$D$15/12*'1_Hypotheses'!$D$16</f>
        <v/>
      </c>
      <c r="O17" s="35">
        <f>O13*'1_Hypotheses'!$D$15/12*'1_Hypotheses'!$D$16</f>
        <v/>
      </c>
      <c r="P17" s="35">
        <f>P13*'1_Hypotheses'!$D$15/12*'1_Hypotheses'!$D$16</f>
        <v/>
      </c>
      <c r="Q17" s="35">
        <f>Q13*'1_Hypotheses'!$D$15/12*'1_Hypotheses'!$D$16</f>
        <v/>
      </c>
      <c r="R17" s="35">
        <f>R13*'1_Hypotheses'!$D$15/12*'1_Hypotheses'!$D$16</f>
        <v/>
      </c>
      <c r="S17" s="35">
        <f>S13*'1_Hypotheses'!$D$15/12*'1_Hypotheses'!$D$16</f>
        <v/>
      </c>
      <c r="T17" s="35">
        <f>T13*'1_Hypotheses'!$D$15/12*'1_Hypotheses'!$D$16</f>
        <v/>
      </c>
      <c r="U17" s="35">
        <f>U13*'1_Hypotheses'!$D$15/12*'1_Hypotheses'!$D$16</f>
        <v/>
      </c>
      <c r="V17" s="35">
        <f>V13*'1_Hypotheses'!$D$15/12*'1_Hypotheses'!$D$16</f>
        <v/>
      </c>
      <c r="W17" s="35">
        <f>W13*'1_Hypotheses'!$D$15/12*'1_Hypotheses'!$D$16</f>
        <v/>
      </c>
      <c r="X17" s="35">
        <f>X13*'1_Hypotheses'!$D$15/12*'1_Hypotheses'!$D$16</f>
        <v/>
      </c>
      <c r="Y17" s="35">
        <f>Y13*'1_Hypotheses'!$D$15/12*'1_Hypotheses'!$D$16</f>
        <v/>
      </c>
      <c r="Z17" s="35">
        <f>Z13*'1_Hypotheses'!$D$15/12*'1_Hypotheses'!$D$16</f>
        <v/>
      </c>
    </row>
    <row r="18">
      <c r="A18" s="41" t="inlineStr">
        <is>
          <t>Apport d'affaires B2C - activation de lignes</t>
        </is>
      </c>
      <c r="B18" s="22">
        <f>SUM(C18:Z18)</f>
        <v/>
      </c>
      <c r="C18" s="35">
        <f>C15*'1_Hypotheses'!$D$23/12*'1_Hypotheses'!$D$24</f>
        <v/>
      </c>
      <c r="D18" s="35">
        <f>D15*'1_Hypotheses'!$D$23/12*'1_Hypotheses'!$D$24</f>
        <v/>
      </c>
      <c r="E18" s="35">
        <f>E15*'1_Hypotheses'!$D$23/12*'1_Hypotheses'!$D$24</f>
        <v/>
      </c>
      <c r="F18" s="35">
        <f>F15*'1_Hypotheses'!$D$23/12*'1_Hypotheses'!$D$24</f>
        <v/>
      </c>
      <c r="G18" s="35">
        <f>G15*'1_Hypotheses'!$D$23/12*'1_Hypotheses'!$D$24</f>
        <v/>
      </c>
      <c r="H18" s="35">
        <f>H15*'1_Hypotheses'!$D$23/12*'1_Hypotheses'!$D$24</f>
        <v/>
      </c>
      <c r="I18" s="35">
        <f>I15*'1_Hypotheses'!$D$23/12*'1_Hypotheses'!$D$24</f>
        <v/>
      </c>
      <c r="J18" s="35">
        <f>J15*'1_Hypotheses'!$D$23/12*'1_Hypotheses'!$D$24</f>
        <v/>
      </c>
      <c r="K18" s="35">
        <f>K15*'1_Hypotheses'!$D$23/12*'1_Hypotheses'!$D$24</f>
        <v/>
      </c>
      <c r="L18" s="35">
        <f>L15*'1_Hypotheses'!$D$23/12*'1_Hypotheses'!$D$24</f>
        <v/>
      </c>
      <c r="M18" s="35">
        <f>M15*'1_Hypotheses'!$D$23/12*'1_Hypotheses'!$D$24</f>
        <v/>
      </c>
      <c r="N18" s="35">
        <f>N15*'1_Hypotheses'!$D$23/12*'1_Hypotheses'!$D$24</f>
        <v/>
      </c>
      <c r="O18" s="35">
        <f>O15*'1_Hypotheses'!$D$23/12*'1_Hypotheses'!$D$24</f>
        <v/>
      </c>
      <c r="P18" s="35">
        <f>P15*'1_Hypotheses'!$D$23/12*'1_Hypotheses'!$D$24</f>
        <v/>
      </c>
      <c r="Q18" s="35">
        <f>Q15*'1_Hypotheses'!$D$23/12*'1_Hypotheses'!$D$24</f>
        <v/>
      </c>
      <c r="R18" s="35">
        <f>R15*'1_Hypotheses'!$D$23/12*'1_Hypotheses'!$D$24</f>
        <v/>
      </c>
      <c r="S18" s="35">
        <f>S15*'1_Hypotheses'!$D$23/12*'1_Hypotheses'!$D$24</f>
        <v/>
      </c>
      <c r="T18" s="35">
        <f>T15*'1_Hypotheses'!$D$23/12*'1_Hypotheses'!$D$24</f>
        <v/>
      </c>
      <c r="U18" s="35">
        <f>U15*'1_Hypotheses'!$D$23/12*'1_Hypotheses'!$D$24</f>
        <v/>
      </c>
      <c r="V18" s="35">
        <f>V15*'1_Hypotheses'!$D$23/12*'1_Hypotheses'!$D$24</f>
        <v/>
      </c>
      <c r="W18" s="35">
        <f>W15*'1_Hypotheses'!$D$23/12*'1_Hypotheses'!$D$24</f>
        <v/>
      </c>
      <c r="X18" s="35">
        <f>X15*'1_Hypotheses'!$D$23/12*'1_Hypotheses'!$D$24</f>
        <v/>
      </c>
      <c r="Y18" s="35">
        <f>Y15*'1_Hypotheses'!$D$23/12*'1_Hypotheses'!$D$24</f>
        <v/>
      </c>
      <c r="Z18" s="35">
        <f>Z15*'1_Hypotheses'!$D$23/12*'1_Hypotheses'!$D$24</f>
        <v/>
      </c>
    </row>
    <row r="19">
      <c r="A19" s="41" t="inlineStr">
        <is>
          <t>Sponsoring consenti</t>
        </is>
      </c>
      <c r="B19" s="22">
        <f>SUM(C19:Z19)</f>
        <v/>
      </c>
      <c r="C19" s="35">
        <f>IF(1&lt;'1_Hypotheses'!$D$29,0,'1_Hypotheses'!$D$28*MIN(1,(1-'1_Hypotheses'!$D$29+1)/'1_Hypotheses'!$D$30))</f>
        <v/>
      </c>
      <c r="D19" s="35">
        <f>IF(2&lt;'1_Hypotheses'!$D$29,0,'1_Hypotheses'!$D$28*MIN(1,(2-'1_Hypotheses'!$D$29+1)/'1_Hypotheses'!$D$30))</f>
        <v/>
      </c>
      <c r="E19" s="35">
        <f>IF(3&lt;'1_Hypotheses'!$D$29,0,'1_Hypotheses'!$D$28*MIN(1,(3-'1_Hypotheses'!$D$29+1)/'1_Hypotheses'!$D$30))</f>
        <v/>
      </c>
      <c r="F19" s="35">
        <f>IF(4&lt;'1_Hypotheses'!$D$29,0,'1_Hypotheses'!$D$28*MIN(1,(4-'1_Hypotheses'!$D$29+1)/'1_Hypotheses'!$D$30))</f>
        <v/>
      </c>
      <c r="G19" s="35">
        <f>IF(5&lt;'1_Hypotheses'!$D$29,0,'1_Hypotheses'!$D$28*MIN(1,(5-'1_Hypotheses'!$D$29+1)/'1_Hypotheses'!$D$30))</f>
        <v/>
      </c>
      <c r="H19" s="35">
        <f>IF(6&lt;'1_Hypotheses'!$D$29,0,'1_Hypotheses'!$D$28*MIN(1,(6-'1_Hypotheses'!$D$29+1)/'1_Hypotheses'!$D$30))</f>
        <v/>
      </c>
      <c r="I19" s="35">
        <f>IF(7&lt;'1_Hypotheses'!$D$29,0,'1_Hypotheses'!$D$28*MIN(1,(7-'1_Hypotheses'!$D$29+1)/'1_Hypotheses'!$D$30))</f>
        <v/>
      </c>
      <c r="J19" s="35">
        <f>IF(8&lt;'1_Hypotheses'!$D$29,0,'1_Hypotheses'!$D$28*MIN(1,(8-'1_Hypotheses'!$D$29+1)/'1_Hypotheses'!$D$30))</f>
        <v/>
      </c>
      <c r="K19" s="35">
        <f>IF(9&lt;'1_Hypotheses'!$D$29,0,'1_Hypotheses'!$D$28*MIN(1,(9-'1_Hypotheses'!$D$29+1)/'1_Hypotheses'!$D$30))</f>
        <v/>
      </c>
      <c r="L19" s="35">
        <f>IF(10&lt;'1_Hypotheses'!$D$29,0,'1_Hypotheses'!$D$28*MIN(1,(10-'1_Hypotheses'!$D$29+1)/'1_Hypotheses'!$D$30))</f>
        <v/>
      </c>
      <c r="M19" s="35">
        <f>IF(11&lt;'1_Hypotheses'!$D$29,0,'1_Hypotheses'!$D$28*MIN(1,(11-'1_Hypotheses'!$D$29+1)/'1_Hypotheses'!$D$30))</f>
        <v/>
      </c>
      <c r="N19" s="35">
        <f>IF(12&lt;'1_Hypotheses'!$D$29,0,'1_Hypotheses'!$D$28*MIN(1,(12-'1_Hypotheses'!$D$29+1)/'1_Hypotheses'!$D$30))</f>
        <v/>
      </c>
      <c r="O19" s="35">
        <f>IF(13&lt;'1_Hypotheses'!$D$29,0,'1_Hypotheses'!$D$28*MIN(1,(13-'1_Hypotheses'!$D$29+1)/'1_Hypotheses'!$D$30))</f>
        <v/>
      </c>
      <c r="P19" s="35">
        <f>IF(14&lt;'1_Hypotheses'!$D$29,0,'1_Hypotheses'!$D$28*MIN(1,(14-'1_Hypotheses'!$D$29+1)/'1_Hypotheses'!$D$30))</f>
        <v/>
      </c>
      <c r="Q19" s="35">
        <f>IF(15&lt;'1_Hypotheses'!$D$29,0,'1_Hypotheses'!$D$28*MIN(1,(15-'1_Hypotheses'!$D$29+1)/'1_Hypotheses'!$D$30))</f>
        <v/>
      </c>
      <c r="R19" s="35">
        <f>IF(16&lt;'1_Hypotheses'!$D$29,0,'1_Hypotheses'!$D$28*MIN(1,(16-'1_Hypotheses'!$D$29+1)/'1_Hypotheses'!$D$30))</f>
        <v/>
      </c>
      <c r="S19" s="35">
        <f>IF(17&lt;'1_Hypotheses'!$D$29,0,'1_Hypotheses'!$D$28*MIN(1,(17-'1_Hypotheses'!$D$29+1)/'1_Hypotheses'!$D$30))</f>
        <v/>
      </c>
      <c r="T19" s="35">
        <f>IF(18&lt;'1_Hypotheses'!$D$29,0,'1_Hypotheses'!$D$28*MIN(1,(18-'1_Hypotheses'!$D$29+1)/'1_Hypotheses'!$D$30))</f>
        <v/>
      </c>
      <c r="U19" s="35">
        <f>IF(19&lt;'1_Hypotheses'!$D$29,0,'1_Hypotheses'!$D$28*MIN(1,(19-'1_Hypotheses'!$D$29+1)/'1_Hypotheses'!$D$30))</f>
        <v/>
      </c>
      <c r="V19" s="35">
        <f>IF(20&lt;'1_Hypotheses'!$D$29,0,'1_Hypotheses'!$D$28*MIN(1,(20-'1_Hypotheses'!$D$29+1)/'1_Hypotheses'!$D$30))</f>
        <v/>
      </c>
      <c r="W19" s="35">
        <f>IF(21&lt;'1_Hypotheses'!$D$29,0,'1_Hypotheses'!$D$28*MIN(1,(21-'1_Hypotheses'!$D$29+1)/'1_Hypotheses'!$D$30))</f>
        <v/>
      </c>
      <c r="X19" s="35">
        <f>IF(22&lt;'1_Hypotheses'!$D$29,0,'1_Hypotheses'!$D$28*MIN(1,(22-'1_Hypotheses'!$D$29+1)/'1_Hypotheses'!$D$30))</f>
        <v/>
      </c>
      <c r="Y19" s="35">
        <f>IF(23&lt;'1_Hypotheses'!$D$29,0,'1_Hypotheses'!$D$28*MIN(1,(23-'1_Hypotheses'!$D$29+1)/'1_Hypotheses'!$D$30))</f>
        <v/>
      </c>
      <c r="Z19" s="35">
        <f>IF(24&lt;'1_Hypotheses'!$D$29,0,'1_Hypotheses'!$D$28*MIN(1,(24-'1_Hypotheses'!$D$29+1)/'1_Hypotheses'!$D$30))</f>
        <v/>
      </c>
    </row>
    <row r="20">
      <c r="A20" s="45" t="inlineStr">
        <is>
          <t>CHIFFRE D'AFFAIRES TOTAL</t>
        </is>
      </c>
      <c r="B20" s="22">
        <f>SUM(C20:Z20)</f>
        <v/>
      </c>
      <c r="C20" s="22">
        <f>SUM(C17:C19)</f>
        <v/>
      </c>
      <c r="D20" s="22">
        <f>SUM(D17:D19)</f>
        <v/>
      </c>
      <c r="E20" s="22">
        <f>SUM(E17:E19)</f>
        <v/>
      </c>
      <c r="F20" s="22">
        <f>SUM(F17:F19)</f>
        <v/>
      </c>
      <c r="G20" s="22">
        <f>SUM(G17:G19)</f>
        <v/>
      </c>
      <c r="H20" s="22">
        <f>SUM(H17:H19)</f>
        <v/>
      </c>
      <c r="I20" s="22">
        <f>SUM(I17:I19)</f>
        <v/>
      </c>
      <c r="J20" s="22">
        <f>SUM(J17:J19)</f>
        <v/>
      </c>
      <c r="K20" s="22">
        <f>SUM(K17:K19)</f>
        <v/>
      </c>
      <c r="L20" s="22">
        <f>SUM(L17:L19)</f>
        <v/>
      </c>
      <c r="M20" s="22">
        <f>SUM(M17:M19)</f>
        <v/>
      </c>
      <c r="N20" s="22">
        <f>SUM(N17:N19)</f>
        <v/>
      </c>
      <c r="O20" s="22">
        <f>SUM(O17:O19)</f>
        <v/>
      </c>
      <c r="P20" s="22">
        <f>SUM(P17:P19)</f>
        <v/>
      </c>
      <c r="Q20" s="22">
        <f>SUM(Q17:Q19)</f>
        <v/>
      </c>
      <c r="R20" s="22">
        <f>SUM(R17:R19)</f>
        <v/>
      </c>
      <c r="S20" s="22">
        <f>SUM(S17:S19)</f>
        <v/>
      </c>
      <c r="T20" s="22">
        <f>SUM(T17:T19)</f>
        <v/>
      </c>
      <c r="U20" s="22">
        <f>SUM(U17:U19)</f>
        <v/>
      </c>
      <c r="V20" s="22">
        <f>SUM(V17:V19)</f>
        <v/>
      </c>
      <c r="W20" s="22">
        <f>SUM(W17:W19)</f>
        <v/>
      </c>
      <c r="X20" s="22">
        <f>SUM(X17:X19)</f>
        <v/>
      </c>
      <c r="Y20" s="22">
        <f>SUM(Y17:Y19)</f>
        <v/>
      </c>
      <c r="Z20" s="22">
        <f>SUM(Z17:Z19)</f>
        <v/>
      </c>
    </row>
    <row r="21">
      <c r="A21" s="4" t="inlineStr">
        <is>
          <t>COUTS VARIABLES ET REVERSEMENTS</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41" t="inlineStr">
        <is>
          <t>Acheminement des SMS gratuits</t>
        </is>
      </c>
      <c r="B22" s="22">
        <f>SUM(C22:Z22)</f>
        <v/>
      </c>
      <c r="C22" s="35">
        <f>-C8*'1_Hypotheses'!$D$33</f>
        <v/>
      </c>
      <c r="D22" s="35">
        <f>-D8*'1_Hypotheses'!$D$33</f>
        <v/>
      </c>
      <c r="E22" s="35">
        <f>-E8*'1_Hypotheses'!$D$33</f>
        <v/>
      </c>
      <c r="F22" s="35">
        <f>-F8*'1_Hypotheses'!$D$33</f>
        <v/>
      </c>
      <c r="G22" s="35">
        <f>-G8*'1_Hypotheses'!$D$33</f>
        <v/>
      </c>
      <c r="H22" s="35">
        <f>-H8*'1_Hypotheses'!$D$33</f>
        <v/>
      </c>
      <c r="I22" s="35">
        <f>-I8*'1_Hypotheses'!$D$33</f>
        <v/>
      </c>
      <c r="J22" s="35">
        <f>-J8*'1_Hypotheses'!$D$33</f>
        <v/>
      </c>
      <c r="K22" s="35">
        <f>-K8*'1_Hypotheses'!$D$33</f>
        <v/>
      </c>
      <c r="L22" s="35">
        <f>-L8*'1_Hypotheses'!$D$33</f>
        <v/>
      </c>
      <c r="M22" s="35">
        <f>-M8*'1_Hypotheses'!$D$33</f>
        <v/>
      </c>
      <c r="N22" s="35">
        <f>-N8*'1_Hypotheses'!$D$33</f>
        <v/>
      </c>
      <c r="O22" s="35">
        <f>-O8*'1_Hypotheses'!$D$33</f>
        <v/>
      </c>
      <c r="P22" s="35">
        <f>-P8*'1_Hypotheses'!$D$33</f>
        <v/>
      </c>
      <c r="Q22" s="35">
        <f>-Q8*'1_Hypotheses'!$D$33</f>
        <v/>
      </c>
      <c r="R22" s="35">
        <f>-R8*'1_Hypotheses'!$D$33</f>
        <v/>
      </c>
      <c r="S22" s="35">
        <f>-S8*'1_Hypotheses'!$D$33</f>
        <v/>
      </c>
      <c r="T22" s="35">
        <f>-T8*'1_Hypotheses'!$D$33</f>
        <v/>
      </c>
      <c r="U22" s="35">
        <f>-U8*'1_Hypotheses'!$D$33</f>
        <v/>
      </c>
      <c r="V22" s="35">
        <f>-V8*'1_Hypotheses'!$D$33</f>
        <v/>
      </c>
      <c r="W22" s="35">
        <f>-W8*'1_Hypotheses'!$D$33</f>
        <v/>
      </c>
      <c r="X22" s="35">
        <f>-X8*'1_Hypotheses'!$D$33</f>
        <v/>
      </c>
      <c r="Y22" s="35">
        <f>-Y8*'1_Hypotheses'!$D$33</f>
        <v/>
      </c>
      <c r="Z22" s="35">
        <f>-Z8*'1_Hypotheses'!$D$33</f>
        <v/>
      </c>
    </row>
    <row r="23">
      <c r="A23" s="41" t="inlineStr">
        <is>
          <t>Infrastructure variable</t>
        </is>
      </c>
      <c r="B23" s="22">
        <f>SUM(C23:Z23)</f>
        <v/>
      </c>
      <c r="C23" s="35">
        <f>-C7*'1_Hypotheses'!$D$34</f>
        <v/>
      </c>
      <c r="D23" s="35">
        <f>-D7*'1_Hypotheses'!$D$34</f>
        <v/>
      </c>
      <c r="E23" s="35">
        <f>-E7*'1_Hypotheses'!$D$34</f>
        <v/>
      </c>
      <c r="F23" s="35">
        <f>-F7*'1_Hypotheses'!$D$34</f>
        <v/>
      </c>
      <c r="G23" s="35">
        <f>-G7*'1_Hypotheses'!$D$34</f>
        <v/>
      </c>
      <c r="H23" s="35">
        <f>-H7*'1_Hypotheses'!$D$34</f>
        <v/>
      </c>
      <c r="I23" s="35">
        <f>-I7*'1_Hypotheses'!$D$34</f>
        <v/>
      </c>
      <c r="J23" s="35">
        <f>-J7*'1_Hypotheses'!$D$34</f>
        <v/>
      </c>
      <c r="K23" s="35">
        <f>-K7*'1_Hypotheses'!$D$34</f>
        <v/>
      </c>
      <c r="L23" s="35">
        <f>-L7*'1_Hypotheses'!$D$34</f>
        <v/>
      </c>
      <c r="M23" s="35">
        <f>-M7*'1_Hypotheses'!$D$34</f>
        <v/>
      </c>
      <c r="N23" s="35">
        <f>-N7*'1_Hypotheses'!$D$34</f>
        <v/>
      </c>
      <c r="O23" s="35">
        <f>-O7*'1_Hypotheses'!$D$34</f>
        <v/>
      </c>
      <c r="P23" s="35">
        <f>-P7*'1_Hypotheses'!$D$34</f>
        <v/>
      </c>
      <c r="Q23" s="35">
        <f>-Q7*'1_Hypotheses'!$D$34</f>
        <v/>
      </c>
      <c r="R23" s="35">
        <f>-R7*'1_Hypotheses'!$D$34</f>
        <v/>
      </c>
      <c r="S23" s="35">
        <f>-S7*'1_Hypotheses'!$D$34</f>
        <v/>
      </c>
      <c r="T23" s="35">
        <f>-T7*'1_Hypotheses'!$D$34</f>
        <v/>
      </c>
      <c r="U23" s="35">
        <f>-U7*'1_Hypotheses'!$D$34</f>
        <v/>
      </c>
      <c r="V23" s="35">
        <f>-V7*'1_Hypotheses'!$D$34</f>
        <v/>
      </c>
      <c r="W23" s="35">
        <f>-W7*'1_Hypotheses'!$D$34</f>
        <v/>
      </c>
      <c r="X23" s="35">
        <f>-X7*'1_Hypotheses'!$D$34</f>
        <v/>
      </c>
      <c r="Y23" s="35">
        <f>-Y7*'1_Hypotheses'!$D$34</f>
        <v/>
      </c>
      <c r="Z23" s="35">
        <f>-Z7*'1_Hypotheses'!$D$34</f>
        <v/>
      </c>
    </row>
    <row r="24">
      <c r="A24" s="41" t="inlineStr">
        <is>
          <t>Reversement régie sponsoring</t>
        </is>
      </c>
      <c r="B24" s="22">
        <f>SUM(C24:Z24)</f>
        <v/>
      </c>
      <c r="C24" s="35">
        <f>-C19*'1_Hypotheses'!$D$31</f>
        <v/>
      </c>
      <c r="D24" s="35">
        <f>-D19*'1_Hypotheses'!$D$31</f>
        <v/>
      </c>
      <c r="E24" s="35">
        <f>-E19*'1_Hypotheses'!$D$31</f>
        <v/>
      </c>
      <c r="F24" s="35">
        <f>-F19*'1_Hypotheses'!$D$31</f>
        <v/>
      </c>
      <c r="G24" s="35">
        <f>-G19*'1_Hypotheses'!$D$31</f>
        <v/>
      </c>
      <c r="H24" s="35">
        <f>-H19*'1_Hypotheses'!$D$31</f>
        <v/>
      </c>
      <c r="I24" s="35">
        <f>-I19*'1_Hypotheses'!$D$31</f>
        <v/>
      </c>
      <c r="J24" s="35">
        <f>-J19*'1_Hypotheses'!$D$31</f>
        <v/>
      </c>
      <c r="K24" s="35">
        <f>-K19*'1_Hypotheses'!$D$31</f>
        <v/>
      </c>
      <c r="L24" s="35">
        <f>-L19*'1_Hypotheses'!$D$31</f>
        <v/>
      </c>
      <c r="M24" s="35">
        <f>-M19*'1_Hypotheses'!$D$31</f>
        <v/>
      </c>
      <c r="N24" s="35">
        <f>-N19*'1_Hypotheses'!$D$31</f>
        <v/>
      </c>
      <c r="O24" s="35">
        <f>-O19*'1_Hypotheses'!$D$31</f>
        <v/>
      </c>
      <c r="P24" s="35">
        <f>-P19*'1_Hypotheses'!$D$31</f>
        <v/>
      </c>
      <c r="Q24" s="35">
        <f>-Q19*'1_Hypotheses'!$D$31</f>
        <v/>
      </c>
      <c r="R24" s="35">
        <f>-R19*'1_Hypotheses'!$D$31</f>
        <v/>
      </c>
      <c r="S24" s="35">
        <f>-S19*'1_Hypotheses'!$D$31</f>
        <v/>
      </c>
      <c r="T24" s="35">
        <f>-T19*'1_Hypotheses'!$D$31</f>
        <v/>
      </c>
      <c r="U24" s="35">
        <f>-U19*'1_Hypotheses'!$D$31</f>
        <v/>
      </c>
      <c r="V24" s="35">
        <f>-V19*'1_Hypotheses'!$D$31</f>
        <v/>
      </c>
      <c r="W24" s="35">
        <f>-W19*'1_Hypotheses'!$D$31</f>
        <v/>
      </c>
      <c r="X24" s="35">
        <f>-X19*'1_Hypotheses'!$D$31</f>
        <v/>
      </c>
      <c r="Y24" s="35">
        <f>-Y19*'1_Hypotheses'!$D$31</f>
        <v/>
      </c>
      <c r="Z24" s="35">
        <f>-Z19*'1_Hypotheses'!$D$31</f>
        <v/>
      </c>
    </row>
    <row r="25">
      <c r="A25" s="45" t="inlineStr">
        <is>
          <t>TOTAL COUTS VARIABLES ET REVERSEMENTS</t>
        </is>
      </c>
      <c r="B25" s="22">
        <f>SUM(C25:Z25)</f>
        <v/>
      </c>
      <c r="C25" s="22">
        <f>SUM(C22:C24)</f>
        <v/>
      </c>
      <c r="D25" s="22">
        <f>SUM(D22:D24)</f>
        <v/>
      </c>
      <c r="E25" s="22">
        <f>SUM(E22:E24)</f>
        <v/>
      </c>
      <c r="F25" s="22">
        <f>SUM(F22:F24)</f>
        <v/>
      </c>
      <c r="G25" s="22">
        <f>SUM(G22:G24)</f>
        <v/>
      </c>
      <c r="H25" s="22">
        <f>SUM(H22:H24)</f>
        <v/>
      </c>
      <c r="I25" s="22">
        <f>SUM(I22:I24)</f>
        <v/>
      </c>
      <c r="J25" s="22">
        <f>SUM(J22:J24)</f>
        <v/>
      </c>
      <c r="K25" s="22">
        <f>SUM(K22:K24)</f>
        <v/>
      </c>
      <c r="L25" s="22">
        <f>SUM(L22:L24)</f>
        <v/>
      </c>
      <c r="M25" s="22">
        <f>SUM(M22:M24)</f>
        <v/>
      </c>
      <c r="N25" s="22">
        <f>SUM(N22:N24)</f>
        <v/>
      </c>
      <c r="O25" s="22">
        <f>SUM(O22:O24)</f>
        <v/>
      </c>
      <c r="P25" s="22">
        <f>SUM(P22:P24)</f>
        <v/>
      </c>
      <c r="Q25" s="22">
        <f>SUM(Q22:Q24)</f>
        <v/>
      </c>
      <c r="R25" s="22">
        <f>SUM(R22:R24)</f>
        <v/>
      </c>
      <c r="S25" s="22">
        <f>SUM(S22:S24)</f>
        <v/>
      </c>
      <c r="T25" s="22">
        <f>SUM(T22:T24)</f>
        <v/>
      </c>
      <c r="U25" s="22">
        <f>SUM(U22:U24)</f>
        <v/>
      </c>
      <c r="V25" s="22">
        <f>SUM(V22:V24)</f>
        <v/>
      </c>
      <c r="W25" s="22">
        <f>SUM(W22:W24)</f>
        <v/>
      </c>
      <c r="X25" s="22">
        <f>SUM(X22:X24)</f>
        <v/>
      </c>
      <c r="Y25" s="22">
        <f>SUM(Y22:Y24)</f>
        <v/>
      </c>
      <c r="Z25" s="22">
        <f>SUM(Z22:Z24)</f>
        <v/>
      </c>
    </row>
    <row r="26">
      <c r="A26" s="45" t="inlineStr">
        <is>
          <t>MARGE CONTRIBUTIVE</t>
        </is>
      </c>
      <c r="B26" s="26">
        <f>SUM(C26:Z26)</f>
        <v/>
      </c>
      <c r="C26" s="26">
        <f>C20+C25</f>
        <v/>
      </c>
      <c r="D26" s="26">
        <f>D20+D25</f>
        <v/>
      </c>
      <c r="E26" s="26">
        <f>E20+E25</f>
        <v/>
      </c>
      <c r="F26" s="26">
        <f>F20+F25</f>
        <v/>
      </c>
      <c r="G26" s="26">
        <f>G20+G25</f>
        <v/>
      </c>
      <c r="H26" s="26">
        <f>H20+H25</f>
        <v/>
      </c>
      <c r="I26" s="26">
        <f>I20+I25</f>
        <v/>
      </c>
      <c r="J26" s="26">
        <f>J20+J25</f>
        <v/>
      </c>
      <c r="K26" s="26">
        <f>K20+K25</f>
        <v/>
      </c>
      <c r="L26" s="26">
        <f>L20+L25</f>
        <v/>
      </c>
      <c r="M26" s="26">
        <f>M20+M25</f>
        <v/>
      </c>
      <c r="N26" s="26">
        <f>N20+N25</f>
        <v/>
      </c>
      <c r="O26" s="26">
        <f>O20+O25</f>
        <v/>
      </c>
      <c r="P26" s="26">
        <f>P20+P25</f>
        <v/>
      </c>
      <c r="Q26" s="26">
        <f>Q20+Q25</f>
        <v/>
      </c>
      <c r="R26" s="26">
        <f>R20+R25</f>
        <v/>
      </c>
      <c r="S26" s="26">
        <f>S20+S25</f>
        <v/>
      </c>
      <c r="T26" s="26">
        <f>T20+T25</f>
        <v/>
      </c>
      <c r="U26" s="26">
        <f>U20+U25</f>
        <v/>
      </c>
      <c r="V26" s="26">
        <f>V20+V25</f>
        <v/>
      </c>
      <c r="W26" s="26">
        <f>W20+W25</f>
        <v/>
      </c>
      <c r="X26" s="26">
        <f>X20+X25</f>
        <v/>
      </c>
      <c r="Y26" s="26">
        <f>Y20+Y25</f>
        <v/>
      </c>
      <c r="Z26" s="26">
        <f>Z20+Z25</f>
        <v/>
      </c>
    </row>
    <row r="27">
      <c r="A27" s="4" t="inlineStr">
        <is>
          <t>COUTS EVITES  (arrêt du service historique)</t>
        </is>
      </c>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41" t="inlineStr">
        <is>
          <t>Taux de réalisation des économies</t>
        </is>
      </c>
      <c r="B28" s="46">
        <f>Z28</f>
        <v/>
      </c>
      <c r="C28" s="38">
        <f>IF(1&lt;'1_Hypotheses'!$D$48,0,MIN(1,(1-'1_Hypotheses'!$D$48+1)/'1_Hypotheses'!$D$49))</f>
        <v/>
      </c>
      <c r="D28" s="38">
        <f>IF(2&lt;'1_Hypotheses'!$D$48,0,MIN(1,(2-'1_Hypotheses'!$D$48+1)/'1_Hypotheses'!$D$49))</f>
        <v/>
      </c>
      <c r="E28" s="38">
        <f>IF(3&lt;'1_Hypotheses'!$D$48,0,MIN(1,(3-'1_Hypotheses'!$D$48+1)/'1_Hypotheses'!$D$49))</f>
        <v/>
      </c>
      <c r="F28" s="38">
        <f>IF(4&lt;'1_Hypotheses'!$D$48,0,MIN(1,(4-'1_Hypotheses'!$D$48+1)/'1_Hypotheses'!$D$49))</f>
        <v/>
      </c>
      <c r="G28" s="38">
        <f>IF(5&lt;'1_Hypotheses'!$D$48,0,MIN(1,(5-'1_Hypotheses'!$D$48+1)/'1_Hypotheses'!$D$49))</f>
        <v/>
      </c>
      <c r="H28" s="38">
        <f>IF(6&lt;'1_Hypotheses'!$D$48,0,MIN(1,(6-'1_Hypotheses'!$D$48+1)/'1_Hypotheses'!$D$49))</f>
        <v/>
      </c>
      <c r="I28" s="38">
        <f>IF(7&lt;'1_Hypotheses'!$D$48,0,MIN(1,(7-'1_Hypotheses'!$D$48+1)/'1_Hypotheses'!$D$49))</f>
        <v/>
      </c>
      <c r="J28" s="38">
        <f>IF(8&lt;'1_Hypotheses'!$D$48,0,MIN(1,(8-'1_Hypotheses'!$D$48+1)/'1_Hypotheses'!$D$49))</f>
        <v/>
      </c>
      <c r="K28" s="38">
        <f>IF(9&lt;'1_Hypotheses'!$D$48,0,MIN(1,(9-'1_Hypotheses'!$D$48+1)/'1_Hypotheses'!$D$49))</f>
        <v/>
      </c>
      <c r="L28" s="38">
        <f>IF(10&lt;'1_Hypotheses'!$D$48,0,MIN(1,(10-'1_Hypotheses'!$D$48+1)/'1_Hypotheses'!$D$49))</f>
        <v/>
      </c>
      <c r="M28" s="38">
        <f>IF(11&lt;'1_Hypotheses'!$D$48,0,MIN(1,(11-'1_Hypotheses'!$D$48+1)/'1_Hypotheses'!$D$49))</f>
        <v/>
      </c>
      <c r="N28" s="38">
        <f>IF(12&lt;'1_Hypotheses'!$D$48,0,MIN(1,(12-'1_Hypotheses'!$D$48+1)/'1_Hypotheses'!$D$49))</f>
        <v/>
      </c>
      <c r="O28" s="38">
        <f>IF(13&lt;'1_Hypotheses'!$D$48,0,MIN(1,(13-'1_Hypotheses'!$D$48+1)/'1_Hypotheses'!$D$49))</f>
        <v/>
      </c>
      <c r="P28" s="38">
        <f>IF(14&lt;'1_Hypotheses'!$D$48,0,MIN(1,(14-'1_Hypotheses'!$D$48+1)/'1_Hypotheses'!$D$49))</f>
        <v/>
      </c>
      <c r="Q28" s="38">
        <f>IF(15&lt;'1_Hypotheses'!$D$48,0,MIN(1,(15-'1_Hypotheses'!$D$48+1)/'1_Hypotheses'!$D$49))</f>
        <v/>
      </c>
      <c r="R28" s="38">
        <f>IF(16&lt;'1_Hypotheses'!$D$48,0,MIN(1,(16-'1_Hypotheses'!$D$48+1)/'1_Hypotheses'!$D$49))</f>
        <v/>
      </c>
      <c r="S28" s="38">
        <f>IF(17&lt;'1_Hypotheses'!$D$48,0,MIN(1,(17-'1_Hypotheses'!$D$48+1)/'1_Hypotheses'!$D$49))</f>
        <v/>
      </c>
      <c r="T28" s="38">
        <f>IF(18&lt;'1_Hypotheses'!$D$48,0,MIN(1,(18-'1_Hypotheses'!$D$48+1)/'1_Hypotheses'!$D$49))</f>
        <v/>
      </c>
      <c r="U28" s="38">
        <f>IF(19&lt;'1_Hypotheses'!$D$48,0,MIN(1,(19-'1_Hypotheses'!$D$48+1)/'1_Hypotheses'!$D$49))</f>
        <v/>
      </c>
      <c r="V28" s="38">
        <f>IF(20&lt;'1_Hypotheses'!$D$48,0,MIN(1,(20-'1_Hypotheses'!$D$48+1)/'1_Hypotheses'!$D$49))</f>
        <v/>
      </c>
      <c r="W28" s="38">
        <f>IF(21&lt;'1_Hypotheses'!$D$48,0,MIN(1,(21-'1_Hypotheses'!$D$48+1)/'1_Hypotheses'!$D$49))</f>
        <v/>
      </c>
      <c r="X28" s="38">
        <f>IF(22&lt;'1_Hypotheses'!$D$48,0,MIN(1,(22-'1_Hypotheses'!$D$48+1)/'1_Hypotheses'!$D$49))</f>
        <v/>
      </c>
      <c r="Y28" s="38">
        <f>IF(23&lt;'1_Hypotheses'!$D$48,0,MIN(1,(23-'1_Hypotheses'!$D$48+1)/'1_Hypotheses'!$D$49))</f>
        <v/>
      </c>
      <c r="Z28" s="38">
        <f>IF(24&lt;'1_Hypotheses'!$D$48,0,MIN(1,(24-'1_Hypotheses'!$D$48+1)/'1_Hypotheses'!$D$49))</f>
        <v/>
      </c>
    </row>
    <row r="29">
      <c r="A29" s="41" t="inlineStr">
        <is>
          <t xml:space="preserve">  Hébergement et infrastructure on-premise allouée</t>
        </is>
      </c>
      <c r="B29" s="22">
        <f>SUM(C29:Z29)</f>
        <v/>
      </c>
      <c r="C29" s="35">
        <f>'2_Couts_evites'!$B$6*'2_Couts_evites'!$D$6/12*C28</f>
        <v/>
      </c>
      <c r="D29" s="35">
        <f>'2_Couts_evites'!$B$6*'2_Couts_evites'!$D$6/12*D28</f>
        <v/>
      </c>
      <c r="E29" s="35">
        <f>'2_Couts_evites'!$B$6*'2_Couts_evites'!$D$6/12*E28</f>
        <v/>
      </c>
      <c r="F29" s="35">
        <f>'2_Couts_evites'!$B$6*'2_Couts_evites'!$D$6/12*F28</f>
        <v/>
      </c>
      <c r="G29" s="35">
        <f>'2_Couts_evites'!$B$6*'2_Couts_evites'!$D$6/12*G28</f>
        <v/>
      </c>
      <c r="H29" s="35">
        <f>'2_Couts_evites'!$B$6*'2_Couts_evites'!$D$6/12*H28</f>
        <v/>
      </c>
      <c r="I29" s="35">
        <f>'2_Couts_evites'!$B$6*'2_Couts_evites'!$D$6/12*I28</f>
        <v/>
      </c>
      <c r="J29" s="35">
        <f>'2_Couts_evites'!$B$6*'2_Couts_evites'!$D$6/12*J28</f>
        <v/>
      </c>
      <c r="K29" s="35">
        <f>'2_Couts_evites'!$B$6*'2_Couts_evites'!$D$6/12*K28</f>
        <v/>
      </c>
      <c r="L29" s="35">
        <f>'2_Couts_evites'!$B$6*'2_Couts_evites'!$D$6/12*L28</f>
        <v/>
      </c>
      <c r="M29" s="35">
        <f>'2_Couts_evites'!$B$6*'2_Couts_evites'!$D$6/12*M28</f>
        <v/>
      </c>
      <c r="N29" s="35">
        <f>'2_Couts_evites'!$B$6*'2_Couts_evites'!$D$6/12*N28</f>
        <v/>
      </c>
      <c r="O29" s="35">
        <f>'2_Couts_evites'!$B$6*'2_Couts_evites'!$D$6/12*O28</f>
        <v/>
      </c>
      <c r="P29" s="35">
        <f>'2_Couts_evites'!$B$6*'2_Couts_evites'!$D$6/12*P28</f>
        <v/>
      </c>
      <c r="Q29" s="35">
        <f>'2_Couts_evites'!$B$6*'2_Couts_evites'!$D$6/12*Q28</f>
        <v/>
      </c>
      <c r="R29" s="35">
        <f>'2_Couts_evites'!$B$6*'2_Couts_evites'!$D$6/12*R28</f>
        <v/>
      </c>
      <c r="S29" s="35">
        <f>'2_Couts_evites'!$B$6*'2_Couts_evites'!$D$6/12*S28</f>
        <v/>
      </c>
      <c r="T29" s="35">
        <f>'2_Couts_evites'!$B$6*'2_Couts_evites'!$D$6/12*T28</f>
        <v/>
      </c>
      <c r="U29" s="35">
        <f>'2_Couts_evites'!$B$6*'2_Couts_evites'!$D$6/12*U28</f>
        <v/>
      </c>
      <c r="V29" s="35">
        <f>'2_Couts_evites'!$B$6*'2_Couts_evites'!$D$6/12*V28</f>
        <v/>
      </c>
      <c r="W29" s="35">
        <f>'2_Couts_evites'!$B$6*'2_Couts_evites'!$D$6/12*W28</f>
        <v/>
      </c>
      <c r="X29" s="35">
        <f>'2_Couts_evites'!$B$6*'2_Couts_evites'!$D$6/12*X28</f>
        <v/>
      </c>
      <c r="Y29" s="35">
        <f>'2_Couts_evites'!$B$6*'2_Couts_evites'!$D$6/12*Y28</f>
        <v/>
      </c>
      <c r="Z29" s="35">
        <f>'2_Couts_evites'!$B$6*'2_Couts_evites'!$D$6/12*Z28</f>
        <v/>
      </c>
    </row>
    <row r="30">
      <c r="A30" s="41" t="inlineStr">
        <is>
          <t xml:space="preserve">  TMA et maintenance corrective</t>
        </is>
      </c>
      <c r="B30" s="22">
        <f>SUM(C30:Z30)</f>
        <v/>
      </c>
      <c r="C30" s="35">
        <f>'2_Couts_evites'!$B$7*'2_Couts_evites'!$D$7/12*C28</f>
        <v/>
      </c>
      <c r="D30" s="35">
        <f>'2_Couts_evites'!$B$7*'2_Couts_evites'!$D$7/12*D28</f>
        <v/>
      </c>
      <c r="E30" s="35">
        <f>'2_Couts_evites'!$B$7*'2_Couts_evites'!$D$7/12*E28</f>
        <v/>
      </c>
      <c r="F30" s="35">
        <f>'2_Couts_evites'!$B$7*'2_Couts_evites'!$D$7/12*F28</f>
        <v/>
      </c>
      <c r="G30" s="35">
        <f>'2_Couts_evites'!$B$7*'2_Couts_evites'!$D$7/12*G28</f>
        <v/>
      </c>
      <c r="H30" s="35">
        <f>'2_Couts_evites'!$B$7*'2_Couts_evites'!$D$7/12*H28</f>
        <v/>
      </c>
      <c r="I30" s="35">
        <f>'2_Couts_evites'!$B$7*'2_Couts_evites'!$D$7/12*I28</f>
        <v/>
      </c>
      <c r="J30" s="35">
        <f>'2_Couts_evites'!$B$7*'2_Couts_evites'!$D$7/12*J28</f>
        <v/>
      </c>
      <c r="K30" s="35">
        <f>'2_Couts_evites'!$B$7*'2_Couts_evites'!$D$7/12*K28</f>
        <v/>
      </c>
      <c r="L30" s="35">
        <f>'2_Couts_evites'!$B$7*'2_Couts_evites'!$D$7/12*L28</f>
        <v/>
      </c>
      <c r="M30" s="35">
        <f>'2_Couts_evites'!$B$7*'2_Couts_evites'!$D$7/12*M28</f>
        <v/>
      </c>
      <c r="N30" s="35">
        <f>'2_Couts_evites'!$B$7*'2_Couts_evites'!$D$7/12*N28</f>
        <v/>
      </c>
      <c r="O30" s="35">
        <f>'2_Couts_evites'!$B$7*'2_Couts_evites'!$D$7/12*O28</f>
        <v/>
      </c>
      <c r="P30" s="35">
        <f>'2_Couts_evites'!$B$7*'2_Couts_evites'!$D$7/12*P28</f>
        <v/>
      </c>
      <c r="Q30" s="35">
        <f>'2_Couts_evites'!$B$7*'2_Couts_evites'!$D$7/12*Q28</f>
        <v/>
      </c>
      <c r="R30" s="35">
        <f>'2_Couts_evites'!$B$7*'2_Couts_evites'!$D$7/12*R28</f>
        <v/>
      </c>
      <c r="S30" s="35">
        <f>'2_Couts_evites'!$B$7*'2_Couts_evites'!$D$7/12*S28</f>
        <v/>
      </c>
      <c r="T30" s="35">
        <f>'2_Couts_evites'!$B$7*'2_Couts_evites'!$D$7/12*T28</f>
        <v/>
      </c>
      <c r="U30" s="35">
        <f>'2_Couts_evites'!$B$7*'2_Couts_evites'!$D$7/12*U28</f>
        <v/>
      </c>
      <c r="V30" s="35">
        <f>'2_Couts_evites'!$B$7*'2_Couts_evites'!$D$7/12*V28</f>
        <v/>
      </c>
      <c r="W30" s="35">
        <f>'2_Couts_evites'!$B$7*'2_Couts_evites'!$D$7/12*W28</f>
        <v/>
      </c>
      <c r="X30" s="35">
        <f>'2_Couts_evites'!$B$7*'2_Couts_evites'!$D$7/12*X28</f>
        <v/>
      </c>
      <c r="Y30" s="35">
        <f>'2_Couts_evites'!$B$7*'2_Couts_evites'!$D$7/12*Y28</f>
        <v/>
      </c>
      <c r="Z30" s="35">
        <f>'2_Couts_evites'!$B$7*'2_Couts_evites'!$D$7/12*Z28</f>
        <v/>
      </c>
    </row>
    <row r="31">
      <c r="A31" s="41" t="inlineStr">
        <is>
          <t xml:space="preserve">  Exploitation interne (0,25 ETP)</t>
        </is>
      </c>
      <c r="B31" s="22">
        <f>SUM(C31:Z31)</f>
        <v/>
      </c>
      <c r="C31" s="35">
        <f>'2_Couts_evites'!$B$8*'2_Couts_evites'!$D$8/12*C28</f>
        <v/>
      </c>
      <c r="D31" s="35">
        <f>'2_Couts_evites'!$B$8*'2_Couts_evites'!$D$8/12*D28</f>
        <v/>
      </c>
      <c r="E31" s="35">
        <f>'2_Couts_evites'!$B$8*'2_Couts_evites'!$D$8/12*E28</f>
        <v/>
      </c>
      <c r="F31" s="35">
        <f>'2_Couts_evites'!$B$8*'2_Couts_evites'!$D$8/12*F28</f>
        <v/>
      </c>
      <c r="G31" s="35">
        <f>'2_Couts_evites'!$B$8*'2_Couts_evites'!$D$8/12*G28</f>
        <v/>
      </c>
      <c r="H31" s="35">
        <f>'2_Couts_evites'!$B$8*'2_Couts_evites'!$D$8/12*H28</f>
        <v/>
      </c>
      <c r="I31" s="35">
        <f>'2_Couts_evites'!$B$8*'2_Couts_evites'!$D$8/12*I28</f>
        <v/>
      </c>
      <c r="J31" s="35">
        <f>'2_Couts_evites'!$B$8*'2_Couts_evites'!$D$8/12*J28</f>
        <v/>
      </c>
      <c r="K31" s="35">
        <f>'2_Couts_evites'!$B$8*'2_Couts_evites'!$D$8/12*K28</f>
        <v/>
      </c>
      <c r="L31" s="35">
        <f>'2_Couts_evites'!$B$8*'2_Couts_evites'!$D$8/12*L28</f>
        <v/>
      </c>
      <c r="M31" s="35">
        <f>'2_Couts_evites'!$B$8*'2_Couts_evites'!$D$8/12*M28</f>
        <v/>
      </c>
      <c r="N31" s="35">
        <f>'2_Couts_evites'!$B$8*'2_Couts_evites'!$D$8/12*N28</f>
        <v/>
      </c>
      <c r="O31" s="35">
        <f>'2_Couts_evites'!$B$8*'2_Couts_evites'!$D$8/12*O28</f>
        <v/>
      </c>
      <c r="P31" s="35">
        <f>'2_Couts_evites'!$B$8*'2_Couts_evites'!$D$8/12*P28</f>
        <v/>
      </c>
      <c r="Q31" s="35">
        <f>'2_Couts_evites'!$B$8*'2_Couts_evites'!$D$8/12*Q28</f>
        <v/>
      </c>
      <c r="R31" s="35">
        <f>'2_Couts_evites'!$B$8*'2_Couts_evites'!$D$8/12*R28</f>
        <v/>
      </c>
      <c r="S31" s="35">
        <f>'2_Couts_evites'!$B$8*'2_Couts_evites'!$D$8/12*S28</f>
        <v/>
      </c>
      <c r="T31" s="35">
        <f>'2_Couts_evites'!$B$8*'2_Couts_evites'!$D$8/12*T28</f>
        <v/>
      </c>
      <c r="U31" s="35">
        <f>'2_Couts_evites'!$B$8*'2_Couts_evites'!$D$8/12*U28</f>
        <v/>
      </c>
      <c r="V31" s="35">
        <f>'2_Couts_evites'!$B$8*'2_Couts_evites'!$D$8/12*V28</f>
        <v/>
      </c>
      <c r="W31" s="35">
        <f>'2_Couts_evites'!$B$8*'2_Couts_evites'!$D$8/12*W28</f>
        <v/>
      </c>
      <c r="X31" s="35">
        <f>'2_Couts_evites'!$B$8*'2_Couts_evites'!$D$8/12*X28</f>
        <v/>
      </c>
      <c r="Y31" s="35">
        <f>'2_Couts_evites'!$B$8*'2_Couts_evites'!$D$8/12*Y28</f>
        <v/>
      </c>
      <c r="Z31" s="35">
        <f>'2_Couts_evites'!$B$8*'2_Couts_evites'!$D$8/12*Z28</f>
        <v/>
      </c>
    </row>
    <row r="32">
      <c r="A32" s="41" t="inlineStr">
        <is>
          <t xml:space="preserve">  Support N1/N2 : abus, réclamations, signalements</t>
        </is>
      </c>
      <c r="B32" s="22">
        <f>SUM(C32:Z32)</f>
        <v/>
      </c>
      <c r="C32" s="35">
        <f>'2_Couts_evites'!$B$9*'2_Couts_evites'!$D$9/12*C28</f>
        <v/>
      </c>
      <c r="D32" s="35">
        <f>'2_Couts_evites'!$B$9*'2_Couts_evites'!$D$9/12*D28</f>
        <v/>
      </c>
      <c r="E32" s="35">
        <f>'2_Couts_evites'!$B$9*'2_Couts_evites'!$D$9/12*E28</f>
        <v/>
      </c>
      <c r="F32" s="35">
        <f>'2_Couts_evites'!$B$9*'2_Couts_evites'!$D$9/12*F28</f>
        <v/>
      </c>
      <c r="G32" s="35">
        <f>'2_Couts_evites'!$B$9*'2_Couts_evites'!$D$9/12*G28</f>
        <v/>
      </c>
      <c r="H32" s="35">
        <f>'2_Couts_evites'!$B$9*'2_Couts_evites'!$D$9/12*H28</f>
        <v/>
      </c>
      <c r="I32" s="35">
        <f>'2_Couts_evites'!$B$9*'2_Couts_evites'!$D$9/12*I28</f>
        <v/>
      </c>
      <c r="J32" s="35">
        <f>'2_Couts_evites'!$B$9*'2_Couts_evites'!$D$9/12*J28</f>
        <v/>
      </c>
      <c r="K32" s="35">
        <f>'2_Couts_evites'!$B$9*'2_Couts_evites'!$D$9/12*K28</f>
        <v/>
      </c>
      <c r="L32" s="35">
        <f>'2_Couts_evites'!$B$9*'2_Couts_evites'!$D$9/12*L28</f>
        <v/>
      </c>
      <c r="M32" s="35">
        <f>'2_Couts_evites'!$B$9*'2_Couts_evites'!$D$9/12*M28</f>
        <v/>
      </c>
      <c r="N32" s="35">
        <f>'2_Couts_evites'!$B$9*'2_Couts_evites'!$D$9/12*N28</f>
        <v/>
      </c>
      <c r="O32" s="35">
        <f>'2_Couts_evites'!$B$9*'2_Couts_evites'!$D$9/12*O28</f>
        <v/>
      </c>
      <c r="P32" s="35">
        <f>'2_Couts_evites'!$B$9*'2_Couts_evites'!$D$9/12*P28</f>
        <v/>
      </c>
      <c r="Q32" s="35">
        <f>'2_Couts_evites'!$B$9*'2_Couts_evites'!$D$9/12*Q28</f>
        <v/>
      </c>
      <c r="R32" s="35">
        <f>'2_Couts_evites'!$B$9*'2_Couts_evites'!$D$9/12*R28</f>
        <v/>
      </c>
      <c r="S32" s="35">
        <f>'2_Couts_evites'!$B$9*'2_Couts_evites'!$D$9/12*S28</f>
        <v/>
      </c>
      <c r="T32" s="35">
        <f>'2_Couts_evites'!$B$9*'2_Couts_evites'!$D$9/12*T28</f>
        <v/>
      </c>
      <c r="U32" s="35">
        <f>'2_Couts_evites'!$B$9*'2_Couts_evites'!$D$9/12*U28</f>
        <v/>
      </c>
      <c r="V32" s="35">
        <f>'2_Couts_evites'!$B$9*'2_Couts_evites'!$D$9/12*V28</f>
        <v/>
      </c>
      <c r="W32" s="35">
        <f>'2_Couts_evites'!$B$9*'2_Couts_evites'!$D$9/12*W28</f>
        <v/>
      </c>
      <c r="X32" s="35">
        <f>'2_Couts_evites'!$B$9*'2_Couts_evites'!$D$9/12*X28</f>
        <v/>
      </c>
      <c r="Y32" s="35">
        <f>'2_Couts_evites'!$B$9*'2_Couts_evites'!$D$9/12*Y28</f>
        <v/>
      </c>
      <c r="Z32" s="35">
        <f>'2_Couts_evites'!$B$9*'2_Couts_evites'!$D$9/12*Z28</f>
        <v/>
      </c>
    </row>
    <row r="33">
      <c r="A33" s="41" t="inlineStr">
        <is>
          <t xml:space="preserve">  Licences et composants propriétaires</t>
        </is>
      </c>
      <c r="B33" s="22">
        <f>SUM(C33:Z33)</f>
        <v/>
      </c>
      <c r="C33" s="35">
        <f>'2_Couts_evites'!$B$10*'2_Couts_evites'!$D$10/12*C28</f>
        <v/>
      </c>
      <c r="D33" s="35">
        <f>'2_Couts_evites'!$B$10*'2_Couts_evites'!$D$10/12*D28</f>
        <v/>
      </c>
      <c r="E33" s="35">
        <f>'2_Couts_evites'!$B$10*'2_Couts_evites'!$D$10/12*E28</f>
        <v/>
      </c>
      <c r="F33" s="35">
        <f>'2_Couts_evites'!$B$10*'2_Couts_evites'!$D$10/12*F28</f>
        <v/>
      </c>
      <c r="G33" s="35">
        <f>'2_Couts_evites'!$B$10*'2_Couts_evites'!$D$10/12*G28</f>
        <v/>
      </c>
      <c r="H33" s="35">
        <f>'2_Couts_evites'!$B$10*'2_Couts_evites'!$D$10/12*H28</f>
        <v/>
      </c>
      <c r="I33" s="35">
        <f>'2_Couts_evites'!$B$10*'2_Couts_evites'!$D$10/12*I28</f>
        <v/>
      </c>
      <c r="J33" s="35">
        <f>'2_Couts_evites'!$B$10*'2_Couts_evites'!$D$10/12*J28</f>
        <v/>
      </c>
      <c r="K33" s="35">
        <f>'2_Couts_evites'!$B$10*'2_Couts_evites'!$D$10/12*K28</f>
        <v/>
      </c>
      <c r="L33" s="35">
        <f>'2_Couts_evites'!$B$10*'2_Couts_evites'!$D$10/12*L28</f>
        <v/>
      </c>
      <c r="M33" s="35">
        <f>'2_Couts_evites'!$B$10*'2_Couts_evites'!$D$10/12*M28</f>
        <v/>
      </c>
      <c r="N33" s="35">
        <f>'2_Couts_evites'!$B$10*'2_Couts_evites'!$D$10/12*N28</f>
        <v/>
      </c>
      <c r="O33" s="35">
        <f>'2_Couts_evites'!$B$10*'2_Couts_evites'!$D$10/12*O28</f>
        <v/>
      </c>
      <c r="P33" s="35">
        <f>'2_Couts_evites'!$B$10*'2_Couts_evites'!$D$10/12*P28</f>
        <v/>
      </c>
      <c r="Q33" s="35">
        <f>'2_Couts_evites'!$B$10*'2_Couts_evites'!$D$10/12*Q28</f>
        <v/>
      </c>
      <c r="R33" s="35">
        <f>'2_Couts_evites'!$B$10*'2_Couts_evites'!$D$10/12*R28</f>
        <v/>
      </c>
      <c r="S33" s="35">
        <f>'2_Couts_evites'!$B$10*'2_Couts_evites'!$D$10/12*S28</f>
        <v/>
      </c>
      <c r="T33" s="35">
        <f>'2_Couts_evites'!$B$10*'2_Couts_evites'!$D$10/12*T28</f>
        <v/>
      </c>
      <c r="U33" s="35">
        <f>'2_Couts_evites'!$B$10*'2_Couts_evites'!$D$10/12*U28</f>
        <v/>
      </c>
      <c r="V33" s="35">
        <f>'2_Couts_evites'!$B$10*'2_Couts_evites'!$D$10/12*V28</f>
        <v/>
      </c>
      <c r="W33" s="35">
        <f>'2_Couts_evites'!$B$10*'2_Couts_evites'!$D$10/12*W28</f>
        <v/>
      </c>
      <c r="X33" s="35">
        <f>'2_Couts_evites'!$B$10*'2_Couts_evites'!$D$10/12*X28</f>
        <v/>
      </c>
      <c r="Y33" s="35">
        <f>'2_Couts_evites'!$B$10*'2_Couts_evites'!$D$10/12*Y28</f>
        <v/>
      </c>
      <c r="Z33" s="35">
        <f>'2_Couts_evites'!$B$10*'2_Couts_evites'!$D$10/12*Z28</f>
        <v/>
      </c>
    </row>
    <row r="34">
      <c r="A34" s="41" t="inlineStr">
        <is>
          <t xml:space="preserve">  Acheminement des SMS du service historique</t>
        </is>
      </c>
      <c r="B34" s="22">
        <f>SUM(C34:Z34)</f>
        <v/>
      </c>
      <c r="C34" s="35">
        <f>'2_Couts_evites'!$B$11*'2_Couts_evites'!$D$11/12*C28</f>
        <v/>
      </c>
      <c r="D34" s="35">
        <f>'2_Couts_evites'!$B$11*'2_Couts_evites'!$D$11/12*D28</f>
        <v/>
      </c>
      <c r="E34" s="35">
        <f>'2_Couts_evites'!$B$11*'2_Couts_evites'!$D$11/12*E28</f>
        <v/>
      </c>
      <c r="F34" s="35">
        <f>'2_Couts_evites'!$B$11*'2_Couts_evites'!$D$11/12*F28</f>
        <v/>
      </c>
      <c r="G34" s="35">
        <f>'2_Couts_evites'!$B$11*'2_Couts_evites'!$D$11/12*G28</f>
        <v/>
      </c>
      <c r="H34" s="35">
        <f>'2_Couts_evites'!$B$11*'2_Couts_evites'!$D$11/12*H28</f>
        <v/>
      </c>
      <c r="I34" s="35">
        <f>'2_Couts_evites'!$B$11*'2_Couts_evites'!$D$11/12*I28</f>
        <v/>
      </c>
      <c r="J34" s="35">
        <f>'2_Couts_evites'!$B$11*'2_Couts_evites'!$D$11/12*J28</f>
        <v/>
      </c>
      <c r="K34" s="35">
        <f>'2_Couts_evites'!$B$11*'2_Couts_evites'!$D$11/12*K28</f>
        <v/>
      </c>
      <c r="L34" s="35">
        <f>'2_Couts_evites'!$B$11*'2_Couts_evites'!$D$11/12*L28</f>
        <v/>
      </c>
      <c r="M34" s="35">
        <f>'2_Couts_evites'!$B$11*'2_Couts_evites'!$D$11/12*M28</f>
        <v/>
      </c>
      <c r="N34" s="35">
        <f>'2_Couts_evites'!$B$11*'2_Couts_evites'!$D$11/12*N28</f>
        <v/>
      </c>
      <c r="O34" s="35">
        <f>'2_Couts_evites'!$B$11*'2_Couts_evites'!$D$11/12*O28</f>
        <v/>
      </c>
      <c r="P34" s="35">
        <f>'2_Couts_evites'!$B$11*'2_Couts_evites'!$D$11/12*P28</f>
        <v/>
      </c>
      <c r="Q34" s="35">
        <f>'2_Couts_evites'!$B$11*'2_Couts_evites'!$D$11/12*Q28</f>
        <v/>
      </c>
      <c r="R34" s="35">
        <f>'2_Couts_evites'!$B$11*'2_Couts_evites'!$D$11/12*R28</f>
        <v/>
      </c>
      <c r="S34" s="35">
        <f>'2_Couts_evites'!$B$11*'2_Couts_evites'!$D$11/12*S28</f>
        <v/>
      </c>
      <c r="T34" s="35">
        <f>'2_Couts_evites'!$B$11*'2_Couts_evites'!$D$11/12*T28</f>
        <v/>
      </c>
      <c r="U34" s="35">
        <f>'2_Couts_evites'!$B$11*'2_Couts_evites'!$D$11/12*U28</f>
        <v/>
      </c>
      <c r="V34" s="35">
        <f>'2_Couts_evites'!$B$11*'2_Couts_evites'!$D$11/12*V28</f>
        <v/>
      </c>
      <c r="W34" s="35">
        <f>'2_Couts_evites'!$B$11*'2_Couts_evites'!$D$11/12*W28</f>
        <v/>
      </c>
      <c r="X34" s="35">
        <f>'2_Couts_evites'!$B$11*'2_Couts_evites'!$D$11/12*X28</f>
        <v/>
      </c>
      <c r="Y34" s="35">
        <f>'2_Couts_evites'!$B$11*'2_Couts_evites'!$D$11/12*Y28</f>
        <v/>
      </c>
      <c r="Z34" s="35">
        <f>'2_Couts_evites'!$B$11*'2_Couts_evites'!$D$11/12*Z28</f>
        <v/>
      </c>
    </row>
    <row r="35">
      <c r="A35" s="45" t="inlineStr">
        <is>
          <t>TOTAL COUTS EVITES</t>
        </is>
      </c>
      <c r="B35" s="26">
        <f>SUM(C35:Z35)</f>
        <v/>
      </c>
      <c r="C35" s="26">
        <f>SUM(C29:C34)</f>
        <v/>
      </c>
      <c r="D35" s="26">
        <f>SUM(D29:D34)</f>
        <v/>
      </c>
      <c r="E35" s="26">
        <f>SUM(E29:E34)</f>
        <v/>
      </c>
      <c r="F35" s="26">
        <f>SUM(F29:F34)</f>
        <v/>
      </c>
      <c r="G35" s="26">
        <f>SUM(G29:G34)</f>
        <v/>
      </c>
      <c r="H35" s="26">
        <f>SUM(H29:H34)</f>
        <v/>
      </c>
      <c r="I35" s="26">
        <f>SUM(I29:I34)</f>
        <v/>
      </c>
      <c r="J35" s="26">
        <f>SUM(J29:J34)</f>
        <v/>
      </c>
      <c r="K35" s="26">
        <f>SUM(K29:K34)</f>
        <v/>
      </c>
      <c r="L35" s="26">
        <f>SUM(L29:L34)</f>
        <v/>
      </c>
      <c r="M35" s="26">
        <f>SUM(M29:M34)</f>
        <v/>
      </c>
      <c r="N35" s="26">
        <f>SUM(N29:N34)</f>
        <v/>
      </c>
      <c r="O35" s="26">
        <f>SUM(O29:O34)</f>
        <v/>
      </c>
      <c r="P35" s="26">
        <f>SUM(P29:P34)</f>
        <v/>
      </c>
      <c r="Q35" s="26">
        <f>SUM(Q29:Q34)</f>
        <v/>
      </c>
      <c r="R35" s="26">
        <f>SUM(R29:R34)</f>
        <v/>
      </c>
      <c r="S35" s="26">
        <f>SUM(S29:S34)</f>
        <v/>
      </c>
      <c r="T35" s="26">
        <f>SUM(T29:T34)</f>
        <v/>
      </c>
      <c r="U35" s="26">
        <f>SUM(U29:U34)</f>
        <v/>
      </c>
      <c r="V35" s="26">
        <f>SUM(V29:V34)</f>
        <v/>
      </c>
      <c r="W35" s="26">
        <f>SUM(W29:W34)</f>
        <v/>
      </c>
      <c r="X35" s="26">
        <f>SUM(X29:X34)</f>
        <v/>
      </c>
      <c r="Y35" s="26">
        <f>SUM(Y29:Y34)</f>
        <v/>
      </c>
      <c r="Z35" s="26">
        <f>SUM(Z29:Z34)</f>
        <v/>
      </c>
    </row>
    <row r="36">
      <c r="A36" s="4" t="inlineStr">
        <is>
          <t>COUTS FIXES DU SERVICE NOUVELLE GENERATION</t>
        </is>
      </c>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41" t="inlineStr">
        <is>
          <t>Run technique et produit (à compter de la bascule)</t>
        </is>
      </c>
      <c r="B37" s="22">
        <f>SUM(C37:Z37)</f>
        <v/>
      </c>
      <c r="C37" s="35">
        <f>IF(1&gt;='1_Hypotheses'!$D$48,-'1_Hypotheses'!$D$36*'1_Hypotheses'!$D$37/12,0)</f>
        <v/>
      </c>
      <c r="D37" s="35">
        <f>IF(2&gt;='1_Hypotheses'!$D$48,-'1_Hypotheses'!$D$36*'1_Hypotheses'!$D$37/12,0)</f>
        <v/>
      </c>
      <c r="E37" s="35">
        <f>IF(3&gt;='1_Hypotheses'!$D$48,-'1_Hypotheses'!$D$36*'1_Hypotheses'!$D$37/12,0)</f>
        <v/>
      </c>
      <c r="F37" s="35">
        <f>IF(4&gt;='1_Hypotheses'!$D$48,-'1_Hypotheses'!$D$36*'1_Hypotheses'!$D$37/12,0)</f>
        <v/>
      </c>
      <c r="G37" s="35">
        <f>IF(5&gt;='1_Hypotheses'!$D$48,-'1_Hypotheses'!$D$36*'1_Hypotheses'!$D$37/12,0)</f>
        <v/>
      </c>
      <c r="H37" s="35">
        <f>IF(6&gt;='1_Hypotheses'!$D$48,-'1_Hypotheses'!$D$36*'1_Hypotheses'!$D$37/12,0)</f>
        <v/>
      </c>
      <c r="I37" s="35">
        <f>IF(7&gt;='1_Hypotheses'!$D$48,-'1_Hypotheses'!$D$36*'1_Hypotheses'!$D$37/12,0)</f>
        <v/>
      </c>
      <c r="J37" s="35">
        <f>IF(8&gt;='1_Hypotheses'!$D$48,-'1_Hypotheses'!$D$36*'1_Hypotheses'!$D$37/12,0)</f>
        <v/>
      </c>
      <c r="K37" s="35">
        <f>IF(9&gt;='1_Hypotheses'!$D$48,-'1_Hypotheses'!$D$36*'1_Hypotheses'!$D$37/12,0)</f>
        <v/>
      </c>
      <c r="L37" s="35">
        <f>IF(10&gt;='1_Hypotheses'!$D$48,-'1_Hypotheses'!$D$36*'1_Hypotheses'!$D$37/12,0)</f>
        <v/>
      </c>
      <c r="M37" s="35">
        <f>IF(11&gt;='1_Hypotheses'!$D$48,-'1_Hypotheses'!$D$36*'1_Hypotheses'!$D$37/12,0)</f>
        <v/>
      </c>
      <c r="N37" s="35">
        <f>IF(12&gt;='1_Hypotheses'!$D$48,-'1_Hypotheses'!$D$36*'1_Hypotheses'!$D$37/12,0)</f>
        <v/>
      </c>
      <c r="O37" s="35">
        <f>IF(13&gt;='1_Hypotheses'!$D$48,-'1_Hypotheses'!$D$36*'1_Hypotheses'!$D$37/12,0)</f>
        <v/>
      </c>
      <c r="P37" s="35">
        <f>IF(14&gt;='1_Hypotheses'!$D$48,-'1_Hypotheses'!$D$36*'1_Hypotheses'!$D$37/12,0)</f>
        <v/>
      </c>
      <c r="Q37" s="35">
        <f>IF(15&gt;='1_Hypotheses'!$D$48,-'1_Hypotheses'!$D$36*'1_Hypotheses'!$D$37/12,0)</f>
        <v/>
      </c>
      <c r="R37" s="35">
        <f>IF(16&gt;='1_Hypotheses'!$D$48,-'1_Hypotheses'!$D$36*'1_Hypotheses'!$D$37/12,0)</f>
        <v/>
      </c>
      <c r="S37" s="35">
        <f>IF(17&gt;='1_Hypotheses'!$D$48,-'1_Hypotheses'!$D$36*'1_Hypotheses'!$D$37/12,0)</f>
        <v/>
      </c>
      <c r="T37" s="35">
        <f>IF(18&gt;='1_Hypotheses'!$D$48,-'1_Hypotheses'!$D$36*'1_Hypotheses'!$D$37/12,0)</f>
        <v/>
      </c>
      <c r="U37" s="35">
        <f>IF(19&gt;='1_Hypotheses'!$D$48,-'1_Hypotheses'!$D$36*'1_Hypotheses'!$D$37/12,0)</f>
        <v/>
      </c>
      <c r="V37" s="35">
        <f>IF(20&gt;='1_Hypotheses'!$D$48,-'1_Hypotheses'!$D$36*'1_Hypotheses'!$D$37/12,0)</f>
        <v/>
      </c>
      <c r="W37" s="35">
        <f>IF(21&gt;='1_Hypotheses'!$D$48,-'1_Hypotheses'!$D$36*'1_Hypotheses'!$D$37/12,0)</f>
        <v/>
      </c>
      <c r="X37" s="35">
        <f>IF(22&gt;='1_Hypotheses'!$D$48,-'1_Hypotheses'!$D$36*'1_Hypotheses'!$D$37/12,0)</f>
        <v/>
      </c>
      <c r="Y37" s="35">
        <f>IF(23&gt;='1_Hypotheses'!$D$48,-'1_Hypotheses'!$D$36*'1_Hypotheses'!$D$37/12,0)</f>
        <v/>
      </c>
      <c r="Z37" s="35">
        <f>IF(24&gt;='1_Hypotheses'!$D$48,-'1_Hypotheses'!$D$36*'1_Hypotheses'!$D$37/12,0)</f>
        <v/>
      </c>
    </row>
    <row r="38">
      <c r="A38" s="41" t="inlineStr">
        <is>
          <t>Hébergement (production après bascule, environnements avant)</t>
        </is>
      </c>
      <c r="B38" s="22">
        <f>SUM(C38:Z38)</f>
        <v/>
      </c>
      <c r="C38" s="35">
        <f>IF(1&gt;='1_Hypotheses'!$D$48,-'1_Hypotheses'!$D$38,-'1_Hypotheses'!$D$41)</f>
        <v/>
      </c>
      <c r="D38" s="35">
        <f>IF(2&gt;='1_Hypotheses'!$D$48,-'1_Hypotheses'!$D$38,-'1_Hypotheses'!$D$41)</f>
        <v/>
      </c>
      <c r="E38" s="35">
        <f>IF(3&gt;='1_Hypotheses'!$D$48,-'1_Hypotheses'!$D$38,-'1_Hypotheses'!$D$41)</f>
        <v/>
      </c>
      <c r="F38" s="35">
        <f>IF(4&gt;='1_Hypotheses'!$D$48,-'1_Hypotheses'!$D$38,-'1_Hypotheses'!$D$41)</f>
        <v/>
      </c>
      <c r="G38" s="35">
        <f>IF(5&gt;='1_Hypotheses'!$D$48,-'1_Hypotheses'!$D$38,-'1_Hypotheses'!$D$41)</f>
        <v/>
      </c>
      <c r="H38" s="35">
        <f>IF(6&gt;='1_Hypotheses'!$D$48,-'1_Hypotheses'!$D$38,-'1_Hypotheses'!$D$41)</f>
        <v/>
      </c>
      <c r="I38" s="35">
        <f>IF(7&gt;='1_Hypotheses'!$D$48,-'1_Hypotheses'!$D$38,-'1_Hypotheses'!$D$41)</f>
        <v/>
      </c>
      <c r="J38" s="35">
        <f>IF(8&gt;='1_Hypotheses'!$D$48,-'1_Hypotheses'!$D$38,-'1_Hypotheses'!$D$41)</f>
        <v/>
      </c>
      <c r="K38" s="35">
        <f>IF(9&gt;='1_Hypotheses'!$D$48,-'1_Hypotheses'!$D$38,-'1_Hypotheses'!$D$41)</f>
        <v/>
      </c>
      <c r="L38" s="35">
        <f>IF(10&gt;='1_Hypotheses'!$D$48,-'1_Hypotheses'!$D$38,-'1_Hypotheses'!$D$41)</f>
        <v/>
      </c>
      <c r="M38" s="35">
        <f>IF(11&gt;='1_Hypotheses'!$D$48,-'1_Hypotheses'!$D$38,-'1_Hypotheses'!$D$41)</f>
        <v/>
      </c>
      <c r="N38" s="35">
        <f>IF(12&gt;='1_Hypotheses'!$D$48,-'1_Hypotheses'!$D$38,-'1_Hypotheses'!$D$41)</f>
        <v/>
      </c>
      <c r="O38" s="35">
        <f>IF(13&gt;='1_Hypotheses'!$D$48,-'1_Hypotheses'!$D$38,-'1_Hypotheses'!$D$41)</f>
        <v/>
      </c>
      <c r="P38" s="35">
        <f>IF(14&gt;='1_Hypotheses'!$D$48,-'1_Hypotheses'!$D$38,-'1_Hypotheses'!$D$41)</f>
        <v/>
      </c>
      <c r="Q38" s="35">
        <f>IF(15&gt;='1_Hypotheses'!$D$48,-'1_Hypotheses'!$D$38,-'1_Hypotheses'!$D$41)</f>
        <v/>
      </c>
      <c r="R38" s="35">
        <f>IF(16&gt;='1_Hypotheses'!$D$48,-'1_Hypotheses'!$D$38,-'1_Hypotheses'!$D$41)</f>
        <v/>
      </c>
      <c r="S38" s="35">
        <f>IF(17&gt;='1_Hypotheses'!$D$48,-'1_Hypotheses'!$D$38,-'1_Hypotheses'!$D$41)</f>
        <v/>
      </c>
      <c r="T38" s="35">
        <f>IF(18&gt;='1_Hypotheses'!$D$48,-'1_Hypotheses'!$D$38,-'1_Hypotheses'!$D$41)</f>
        <v/>
      </c>
      <c r="U38" s="35">
        <f>IF(19&gt;='1_Hypotheses'!$D$48,-'1_Hypotheses'!$D$38,-'1_Hypotheses'!$D$41)</f>
        <v/>
      </c>
      <c r="V38" s="35">
        <f>IF(20&gt;='1_Hypotheses'!$D$48,-'1_Hypotheses'!$D$38,-'1_Hypotheses'!$D$41)</f>
        <v/>
      </c>
      <c r="W38" s="35">
        <f>IF(21&gt;='1_Hypotheses'!$D$48,-'1_Hypotheses'!$D$38,-'1_Hypotheses'!$D$41)</f>
        <v/>
      </c>
      <c r="X38" s="35">
        <f>IF(22&gt;='1_Hypotheses'!$D$48,-'1_Hypotheses'!$D$38,-'1_Hypotheses'!$D$41)</f>
        <v/>
      </c>
      <c r="Y38" s="35">
        <f>IF(23&gt;='1_Hypotheses'!$D$48,-'1_Hypotheses'!$D$38,-'1_Hypotheses'!$D$41)</f>
        <v/>
      </c>
      <c r="Z38" s="35">
        <f>IF(24&gt;='1_Hypotheses'!$D$48,-'1_Hypotheses'!$D$38,-'1_Hypotheses'!$D$41)</f>
        <v/>
      </c>
    </row>
    <row r="39">
      <c r="A39" s="41" t="inlineStr">
        <is>
          <t>Support et modération</t>
        </is>
      </c>
      <c r="B39" s="22">
        <f>SUM(C39:Z39)</f>
        <v/>
      </c>
      <c r="C39" s="35">
        <f>IF(1&gt;='1_Hypotheses'!$D$48,-'1_Hypotheses'!$D$39,0)</f>
        <v/>
      </c>
      <c r="D39" s="35">
        <f>IF(2&gt;='1_Hypotheses'!$D$48,-'1_Hypotheses'!$D$39,0)</f>
        <v/>
      </c>
      <c r="E39" s="35">
        <f>IF(3&gt;='1_Hypotheses'!$D$48,-'1_Hypotheses'!$D$39,0)</f>
        <v/>
      </c>
      <c r="F39" s="35">
        <f>IF(4&gt;='1_Hypotheses'!$D$48,-'1_Hypotheses'!$D$39,0)</f>
        <v/>
      </c>
      <c r="G39" s="35">
        <f>IF(5&gt;='1_Hypotheses'!$D$48,-'1_Hypotheses'!$D$39,0)</f>
        <v/>
      </c>
      <c r="H39" s="35">
        <f>IF(6&gt;='1_Hypotheses'!$D$48,-'1_Hypotheses'!$D$39,0)</f>
        <v/>
      </c>
      <c r="I39" s="35">
        <f>IF(7&gt;='1_Hypotheses'!$D$48,-'1_Hypotheses'!$D$39,0)</f>
        <v/>
      </c>
      <c r="J39" s="35">
        <f>IF(8&gt;='1_Hypotheses'!$D$48,-'1_Hypotheses'!$D$39,0)</f>
        <v/>
      </c>
      <c r="K39" s="35">
        <f>IF(9&gt;='1_Hypotheses'!$D$48,-'1_Hypotheses'!$D$39,0)</f>
        <v/>
      </c>
      <c r="L39" s="35">
        <f>IF(10&gt;='1_Hypotheses'!$D$48,-'1_Hypotheses'!$D$39,0)</f>
        <v/>
      </c>
      <c r="M39" s="35">
        <f>IF(11&gt;='1_Hypotheses'!$D$48,-'1_Hypotheses'!$D$39,0)</f>
        <v/>
      </c>
      <c r="N39" s="35">
        <f>IF(12&gt;='1_Hypotheses'!$D$48,-'1_Hypotheses'!$D$39,0)</f>
        <v/>
      </c>
      <c r="O39" s="35">
        <f>IF(13&gt;='1_Hypotheses'!$D$48,-'1_Hypotheses'!$D$39,0)</f>
        <v/>
      </c>
      <c r="P39" s="35">
        <f>IF(14&gt;='1_Hypotheses'!$D$48,-'1_Hypotheses'!$D$39,0)</f>
        <v/>
      </c>
      <c r="Q39" s="35">
        <f>IF(15&gt;='1_Hypotheses'!$D$48,-'1_Hypotheses'!$D$39,0)</f>
        <v/>
      </c>
      <c r="R39" s="35">
        <f>IF(16&gt;='1_Hypotheses'!$D$48,-'1_Hypotheses'!$D$39,0)</f>
        <v/>
      </c>
      <c r="S39" s="35">
        <f>IF(17&gt;='1_Hypotheses'!$D$48,-'1_Hypotheses'!$D$39,0)</f>
        <v/>
      </c>
      <c r="T39" s="35">
        <f>IF(18&gt;='1_Hypotheses'!$D$48,-'1_Hypotheses'!$D$39,0)</f>
        <v/>
      </c>
      <c r="U39" s="35">
        <f>IF(19&gt;='1_Hypotheses'!$D$48,-'1_Hypotheses'!$D$39,0)</f>
        <v/>
      </c>
      <c r="V39" s="35">
        <f>IF(20&gt;='1_Hypotheses'!$D$48,-'1_Hypotheses'!$D$39,0)</f>
        <v/>
      </c>
      <c r="W39" s="35">
        <f>IF(21&gt;='1_Hypotheses'!$D$48,-'1_Hypotheses'!$D$39,0)</f>
        <v/>
      </c>
      <c r="X39" s="35">
        <f>IF(22&gt;='1_Hypotheses'!$D$48,-'1_Hypotheses'!$D$39,0)</f>
        <v/>
      </c>
      <c r="Y39" s="35">
        <f>IF(23&gt;='1_Hypotheses'!$D$48,-'1_Hypotheses'!$D$39,0)</f>
        <v/>
      </c>
      <c r="Z39" s="35">
        <f>IF(24&gt;='1_Hypotheses'!$D$48,-'1_Hypotheses'!$D$39,0)</f>
        <v/>
      </c>
    </row>
    <row r="40">
      <c r="A40" s="41" t="inlineStr">
        <is>
          <t>Communication et notoriété</t>
        </is>
      </c>
      <c r="B40" s="22">
        <f>SUM(C40:Z40)</f>
        <v/>
      </c>
      <c r="C40" s="35">
        <f>IF(1&gt;='1_Hypotheses'!$D$48,-'1_Hypotheses'!$D$40,0)</f>
        <v/>
      </c>
      <c r="D40" s="35">
        <f>IF(2&gt;='1_Hypotheses'!$D$48,-'1_Hypotheses'!$D$40,0)</f>
        <v/>
      </c>
      <c r="E40" s="35">
        <f>IF(3&gt;='1_Hypotheses'!$D$48,-'1_Hypotheses'!$D$40,0)</f>
        <v/>
      </c>
      <c r="F40" s="35">
        <f>IF(4&gt;='1_Hypotheses'!$D$48,-'1_Hypotheses'!$D$40,0)</f>
        <v/>
      </c>
      <c r="G40" s="35">
        <f>IF(5&gt;='1_Hypotheses'!$D$48,-'1_Hypotheses'!$D$40,0)</f>
        <v/>
      </c>
      <c r="H40" s="35">
        <f>IF(6&gt;='1_Hypotheses'!$D$48,-'1_Hypotheses'!$D$40,0)</f>
        <v/>
      </c>
      <c r="I40" s="35">
        <f>IF(7&gt;='1_Hypotheses'!$D$48,-'1_Hypotheses'!$D$40,0)</f>
        <v/>
      </c>
      <c r="J40" s="35">
        <f>IF(8&gt;='1_Hypotheses'!$D$48,-'1_Hypotheses'!$D$40,0)</f>
        <v/>
      </c>
      <c r="K40" s="35">
        <f>IF(9&gt;='1_Hypotheses'!$D$48,-'1_Hypotheses'!$D$40,0)</f>
        <v/>
      </c>
      <c r="L40" s="35">
        <f>IF(10&gt;='1_Hypotheses'!$D$48,-'1_Hypotheses'!$D$40,0)</f>
        <v/>
      </c>
      <c r="M40" s="35">
        <f>IF(11&gt;='1_Hypotheses'!$D$48,-'1_Hypotheses'!$D$40,0)</f>
        <v/>
      </c>
      <c r="N40" s="35">
        <f>IF(12&gt;='1_Hypotheses'!$D$48,-'1_Hypotheses'!$D$40,0)</f>
        <v/>
      </c>
      <c r="O40" s="35">
        <f>IF(13&gt;='1_Hypotheses'!$D$48,-'1_Hypotheses'!$D$40,0)</f>
        <v/>
      </c>
      <c r="P40" s="35">
        <f>IF(14&gt;='1_Hypotheses'!$D$48,-'1_Hypotheses'!$D$40,0)</f>
        <v/>
      </c>
      <c r="Q40" s="35">
        <f>IF(15&gt;='1_Hypotheses'!$D$48,-'1_Hypotheses'!$D$40,0)</f>
        <v/>
      </c>
      <c r="R40" s="35">
        <f>IF(16&gt;='1_Hypotheses'!$D$48,-'1_Hypotheses'!$D$40,0)</f>
        <v/>
      </c>
      <c r="S40" s="35">
        <f>IF(17&gt;='1_Hypotheses'!$D$48,-'1_Hypotheses'!$D$40,0)</f>
        <v/>
      </c>
      <c r="T40" s="35">
        <f>IF(18&gt;='1_Hypotheses'!$D$48,-'1_Hypotheses'!$D$40,0)</f>
        <v/>
      </c>
      <c r="U40" s="35">
        <f>IF(19&gt;='1_Hypotheses'!$D$48,-'1_Hypotheses'!$D$40,0)</f>
        <v/>
      </c>
      <c r="V40" s="35">
        <f>IF(20&gt;='1_Hypotheses'!$D$48,-'1_Hypotheses'!$D$40,0)</f>
        <v/>
      </c>
      <c r="W40" s="35">
        <f>IF(21&gt;='1_Hypotheses'!$D$48,-'1_Hypotheses'!$D$40,0)</f>
        <v/>
      </c>
      <c r="X40" s="35">
        <f>IF(22&gt;='1_Hypotheses'!$D$48,-'1_Hypotheses'!$D$40,0)</f>
        <v/>
      </c>
      <c r="Y40" s="35">
        <f>IF(23&gt;='1_Hypotheses'!$D$48,-'1_Hypotheses'!$D$40,0)</f>
        <v/>
      </c>
      <c r="Z40" s="35">
        <f>IF(24&gt;='1_Hypotheses'!$D$48,-'1_Hypotheses'!$D$40,0)</f>
        <v/>
      </c>
    </row>
    <row r="41">
      <c r="A41" s="45" t="inlineStr">
        <is>
          <t>TOTAL COUTS FIXES</t>
        </is>
      </c>
      <c r="B41" s="22">
        <f>SUM(C41:Z41)</f>
        <v/>
      </c>
      <c r="C41" s="22">
        <f>SUM(C37:C40)</f>
        <v/>
      </c>
      <c r="D41" s="22">
        <f>SUM(D37:D40)</f>
        <v/>
      </c>
      <c r="E41" s="22">
        <f>SUM(E37:E40)</f>
        <v/>
      </c>
      <c r="F41" s="22">
        <f>SUM(F37:F40)</f>
        <v/>
      </c>
      <c r="G41" s="22">
        <f>SUM(G37:G40)</f>
        <v/>
      </c>
      <c r="H41" s="22">
        <f>SUM(H37:H40)</f>
        <v/>
      </c>
      <c r="I41" s="22">
        <f>SUM(I37:I40)</f>
        <v/>
      </c>
      <c r="J41" s="22">
        <f>SUM(J37:J40)</f>
        <v/>
      </c>
      <c r="K41" s="22">
        <f>SUM(K37:K40)</f>
        <v/>
      </c>
      <c r="L41" s="22">
        <f>SUM(L37:L40)</f>
        <v/>
      </c>
      <c r="M41" s="22">
        <f>SUM(M37:M40)</f>
        <v/>
      </c>
      <c r="N41" s="22">
        <f>SUM(N37:N40)</f>
        <v/>
      </c>
      <c r="O41" s="22">
        <f>SUM(O37:O40)</f>
        <v/>
      </c>
      <c r="P41" s="22">
        <f>SUM(P37:P40)</f>
        <v/>
      </c>
      <c r="Q41" s="22">
        <f>SUM(Q37:Q40)</f>
        <v/>
      </c>
      <c r="R41" s="22">
        <f>SUM(R37:R40)</f>
        <v/>
      </c>
      <c r="S41" s="22">
        <f>SUM(S37:S40)</f>
        <v/>
      </c>
      <c r="T41" s="22">
        <f>SUM(T37:T40)</f>
        <v/>
      </c>
      <c r="U41" s="22">
        <f>SUM(U37:U40)</f>
        <v/>
      </c>
      <c r="V41" s="22">
        <f>SUM(V37:V40)</f>
        <v/>
      </c>
      <c r="W41" s="22">
        <f>SUM(W37:W40)</f>
        <v/>
      </c>
      <c r="X41" s="22">
        <f>SUM(X37:X40)</f>
        <v/>
      </c>
      <c r="Y41" s="22">
        <f>SUM(Y37:Y40)</f>
        <v/>
      </c>
      <c r="Z41" s="22">
        <f>SUM(Z37:Z40)</f>
        <v/>
      </c>
    </row>
    <row r="42">
      <c r="A42" s="4" t="inlineStr">
        <is>
          <t>INVESTISSEMENTS</t>
        </is>
      </c>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45" t="inlineStr">
        <is>
          <t>Build, industrialisation et reprise</t>
        </is>
      </c>
      <c r="B43" s="22">
        <f>SUM(C43:Z43)</f>
        <v/>
      </c>
      <c r="C43" s="22">
        <f>IF(1&lt;='1_Hypotheses'!$D$44,-'1_Hypotheses'!$D$43/'1_Hypotheses'!$D$44,0)</f>
        <v/>
      </c>
      <c r="D43" s="22">
        <f>IF(2&lt;='1_Hypotheses'!$D$44,-'1_Hypotheses'!$D$43/'1_Hypotheses'!$D$44,0)</f>
        <v/>
      </c>
      <c r="E43" s="22">
        <f>IF(3&lt;='1_Hypotheses'!$D$44,-'1_Hypotheses'!$D$43/'1_Hypotheses'!$D$44,0)</f>
        <v/>
      </c>
      <c r="F43" s="22">
        <f>IF(4&lt;='1_Hypotheses'!$D$44,-'1_Hypotheses'!$D$43/'1_Hypotheses'!$D$44,0)</f>
        <v/>
      </c>
      <c r="G43" s="22">
        <f>IF(5&lt;='1_Hypotheses'!$D$44,-'1_Hypotheses'!$D$43/'1_Hypotheses'!$D$44,0)</f>
        <v/>
      </c>
      <c r="H43" s="22">
        <f>IF(6&lt;='1_Hypotheses'!$D$44,-'1_Hypotheses'!$D$43/'1_Hypotheses'!$D$44,0)</f>
        <v/>
      </c>
      <c r="I43" s="22">
        <f>IF(7&lt;='1_Hypotheses'!$D$44,-'1_Hypotheses'!$D$43/'1_Hypotheses'!$D$44,0)</f>
        <v/>
      </c>
      <c r="J43" s="22">
        <f>IF(8&lt;='1_Hypotheses'!$D$44,-'1_Hypotheses'!$D$43/'1_Hypotheses'!$D$44,0)</f>
        <v/>
      </c>
      <c r="K43" s="22">
        <f>IF(9&lt;='1_Hypotheses'!$D$44,-'1_Hypotheses'!$D$43/'1_Hypotheses'!$D$44,0)</f>
        <v/>
      </c>
      <c r="L43" s="22">
        <f>IF(10&lt;='1_Hypotheses'!$D$44,-'1_Hypotheses'!$D$43/'1_Hypotheses'!$D$44,0)</f>
        <v/>
      </c>
      <c r="M43" s="22">
        <f>IF(11&lt;='1_Hypotheses'!$D$44,-'1_Hypotheses'!$D$43/'1_Hypotheses'!$D$44,0)</f>
        <v/>
      </c>
      <c r="N43" s="22">
        <f>IF(12&lt;='1_Hypotheses'!$D$44,-'1_Hypotheses'!$D$43/'1_Hypotheses'!$D$44,0)</f>
        <v/>
      </c>
      <c r="O43" s="22">
        <f>IF(13&lt;='1_Hypotheses'!$D$44,-'1_Hypotheses'!$D$43/'1_Hypotheses'!$D$44,0)</f>
        <v/>
      </c>
      <c r="P43" s="22">
        <f>IF(14&lt;='1_Hypotheses'!$D$44,-'1_Hypotheses'!$D$43/'1_Hypotheses'!$D$44,0)</f>
        <v/>
      </c>
      <c r="Q43" s="22">
        <f>IF(15&lt;='1_Hypotheses'!$D$44,-'1_Hypotheses'!$D$43/'1_Hypotheses'!$D$44,0)</f>
        <v/>
      </c>
      <c r="R43" s="22">
        <f>IF(16&lt;='1_Hypotheses'!$D$44,-'1_Hypotheses'!$D$43/'1_Hypotheses'!$D$44,0)</f>
        <v/>
      </c>
      <c r="S43" s="22">
        <f>IF(17&lt;='1_Hypotheses'!$D$44,-'1_Hypotheses'!$D$43/'1_Hypotheses'!$D$44,0)</f>
        <v/>
      </c>
      <c r="T43" s="22">
        <f>IF(18&lt;='1_Hypotheses'!$D$44,-'1_Hypotheses'!$D$43/'1_Hypotheses'!$D$44,0)</f>
        <v/>
      </c>
      <c r="U43" s="22">
        <f>IF(19&lt;='1_Hypotheses'!$D$44,-'1_Hypotheses'!$D$43/'1_Hypotheses'!$D$44,0)</f>
        <v/>
      </c>
      <c r="V43" s="22">
        <f>IF(20&lt;='1_Hypotheses'!$D$44,-'1_Hypotheses'!$D$43/'1_Hypotheses'!$D$44,0)</f>
        <v/>
      </c>
      <c r="W43" s="22">
        <f>IF(21&lt;='1_Hypotheses'!$D$44,-'1_Hypotheses'!$D$43/'1_Hypotheses'!$D$44,0)</f>
        <v/>
      </c>
      <c r="X43" s="22">
        <f>IF(22&lt;='1_Hypotheses'!$D$44,-'1_Hypotheses'!$D$43/'1_Hypotheses'!$D$44,0)</f>
        <v/>
      </c>
      <c r="Y43" s="22">
        <f>IF(23&lt;='1_Hypotheses'!$D$44,-'1_Hypotheses'!$D$43/'1_Hypotheses'!$D$44,0)</f>
        <v/>
      </c>
      <c r="Z43" s="22">
        <f>IF(24&lt;='1_Hypotheses'!$D$44,-'1_Hypotheses'!$D$43/'1_Hypotheses'!$D$44,0)</f>
        <v/>
      </c>
    </row>
    <row r="44">
      <c r="A44" s="4" t="inlineStr">
        <is>
          <t>RESULTAT ECONOMIQUE</t>
        </is>
      </c>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45" t="inlineStr">
        <is>
          <t>Résultat avant impôt</t>
        </is>
      </c>
      <c r="B45" s="22">
        <f>SUM(C45:Z45)</f>
        <v/>
      </c>
      <c r="C45" s="22">
        <f>C26+C35+C41+C43</f>
        <v/>
      </c>
      <c r="D45" s="22">
        <f>D26+D35+D41+D43</f>
        <v/>
      </c>
      <c r="E45" s="22">
        <f>E26+E35+E41+E43</f>
        <v/>
      </c>
      <c r="F45" s="22">
        <f>F26+F35+F41+F43</f>
        <v/>
      </c>
      <c r="G45" s="22">
        <f>G26+G35+G41+G43</f>
        <v/>
      </c>
      <c r="H45" s="22">
        <f>H26+H35+H41+H43</f>
        <v/>
      </c>
      <c r="I45" s="22">
        <f>I26+I35+I41+I43</f>
        <v/>
      </c>
      <c r="J45" s="22">
        <f>J26+J35+J41+J43</f>
        <v/>
      </c>
      <c r="K45" s="22">
        <f>K26+K35+K41+K43</f>
        <v/>
      </c>
      <c r="L45" s="22">
        <f>L26+L35+L41+L43</f>
        <v/>
      </c>
      <c r="M45" s="22">
        <f>M26+M35+M41+M43</f>
        <v/>
      </c>
      <c r="N45" s="22">
        <f>N26+N35+N41+N43</f>
        <v/>
      </c>
      <c r="O45" s="22">
        <f>O26+O35+O41+O43</f>
        <v/>
      </c>
      <c r="P45" s="22">
        <f>P26+P35+P41+P43</f>
        <v/>
      </c>
      <c r="Q45" s="22">
        <f>Q26+Q35+Q41+Q43</f>
        <v/>
      </c>
      <c r="R45" s="22">
        <f>R26+R35+R41+R43</f>
        <v/>
      </c>
      <c r="S45" s="22">
        <f>S26+S35+S41+S43</f>
        <v/>
      </c>
      <c r="T45" s="22">
        <f>T26+T35+T41+T43</f>
        <v/>
      </c>
      <c r="U45" s="22">
        <f>U26+U35+U41+U43</f>
        <v/>
      </c>
      <c r="V45" s="22">
        <f>V26+V35+V41+V43</f>
        <v/>
      </c>
      <c r="W45" s="22">
        <f>W26+W35+W41+W43</f>
        <v/>
      </c>
      <c r="X45" s="22">
        <f>X26+X35+X41+X43</f>
        <v/>
      </c>
      <c r="Y45" s="22">
        <f>Y26+Y35+Y41+Y43</f>
        <v/>
      </c>
      <c r="Z45" s="22">
        <f>Z26+Z35+Z41+Z43</f>
        <v/>
      </c>
    </row>
    <row r="46">
      <c r="A46" s="41" t="inlineStr">
        <is>
          <t>Résultat avant impôt cumulé</t>
        </is>
      </c>
      <c r="B46" s="22">
        <f>Z46</f>
        <v/>
      </c>
      <c r="C46" s="35">
        <f>C45</f>
        <v/>
      </c>
      <c r="D46" s="35">
        <f>C46+D45</f>
        <v/>
      </c>
      <c r="E46" s="35">
        <f>D46+E45</f>
        <v/>
      </c>
      <c r="F46" s="35">
        <f>E46+F45</f>
        <v/>
      </c>
      <c r="G46" s="35">
        <f>F46+G45</f>
        <v/>
      </c>
      <c r="H46" s="35">
        <f>G46+H45</f>
        <v/>
      </c>
      <c r="I46" s="35">
        <f>H46+I45</f>
        <v/>
      </c>
      <c r="J46" s="35">
        <f>I46+J45</f>
        <v/>
      </c>
      <c r="K46" s="35">
        <f>J46+K45</f>
        <v/>
      </c>
      <c r="L46" s="35">
        <f>K46+L45</f>
        <v/>
      </c>
      <c r="M46" s="35">
        <f>L46+M45</f>
        <v/>
      </c>
      <c r="N46" s="35">
        <f>M46+N45</f>
        <v/>
      </c>
      <c r="O46" s="35">
        <f>N46+O45</f>
        <v/>
      </c>
      <c r="P46" s="35">
        <f>O46+P45</f>
        <v/>
      </c>
      <c r="Q46" s="35">
        <f>P46+Q45</f>
        <v/>
      </c>
      <c r="R46" s="35">
        <f>Q46+R45</f>
        <v/>
      </c>
      <c r="S46" s="35">
        <f>R46+S45</f>
        <v/>
      </c>
      <c r="T46" s="35">
        <f>S46+T45</f>
        <v/>
      </c>
      <c r="U46" s="35">
        <f>T46+U45</f>
        <v/>
      </c>
      <c r="V46" s="35">
        <f>U46+V45</f>
        <v/>
      </c>
      <c r="W46" s="35">
        <f>V46+W45</f>
        <v/>
      </c>
      <c r="X46" s="35">
        <f>W46+X45</f>
        <v/>
      </c>
      <c r="Y46" s="35">
        <f>X46+Y45</f>
        <v/>
      </c>
      <c r="Z46" s="35">
        <f>Y46+Z45</f>
        <v/>
      </c>
    </row>
    <row r="47">
      <c r="A47" s="41" t="inlineStr">
        <is>
          <t>Impôt sur les sociétés (report des déficits appliqué)</t>
        </is>
      </c>
      <c r="B47" s="22">
        <f>SUM(C47:Z47)</f>
        <v/>
      </c>
      <c r="C47" s="35">
        <f>-IF(AND(C45&gt;0,C46&gt;0),'1_Hypotheses'!$D$46*MIN(C45,C46),0)</f>
        <v/>
      </c>
      <c r="D47" s="35">
        <f>-IF(AND(D45&gt;0,D46&gt;0),'1_Hypotheses'!$D$46*MIN(D45,D46),0)</f>
        <v/>
      </c>
      <c r="E47" s="35">
        <f>-IF(AND(E45&gt;0,E46&gt;0),'1_Hypotheses'!$D$46*MIN(E45,E46),0)</f>
        <v/>
      </c>
      <c r="F47" s="35">
        <f>-IF(AND(F45&gt;0,F46&gt;0),'1_Hypotheses'!$D$46*MIN(F45,F46),0)</f>
        <v/>
      </c>
      <c r="G47" s="35">
        <f>-IF(AND(G45&gt;0,G46&gt;0),'1_Hypotheses'!$D$46*MIN(G45,G46),0)</f>
        <v/>
      </c>
      <c r="H47" s="35">
        <f>-IF(AND(H45&gt;0,H46&gt;0),'1_Hypotheses'!$D$46*MIN(H45,H46),0)</f>
        <v/>
      </c>
      <c r="I47" s="35">
        <f>-IF(AND(I45&gt;0,I46&gt;0),'1_Hypotheses'!$D$46*MIN(I45,I46),0)</f>
        <v/>
      </c>
      <c r="J47" s="35">
        <f>-IF(AND(J45&gt;0,J46&gt;0),'1_Hypotheses'!$D$46*MIN(J45,J46),0)</f>
        <v/>
      </c>
      <c r="K47" s="35">
        <f>-IF(AND(K45&gt;0,K46&gt;0),'1_Hypotheses'!$D$46*MIN(K45,K46),0)</f>
        <v/>
      </c>
      <c r="L47" s="35">
        <f>-IF(AND(L45&gt;0,L46&gt;0),'1_Hypotheses'!$D$46*MIN(L45,L46),0)</f>
        <v/>
      </c>
      <c r="M47" s="35">
        <f>-IF(AND(M45&gt;0,M46&gt;0),'1_Hypotheses'!$D$46*MIN(M45,M46),0)</f>
        <v/>
      </c>
      <c r="N47" s="35">
        <f>-IF(AND(N45&gt;0,N46&gt;0),'1_Hypotheses'!$D$46*MIN(N45,N46),0)</f>
        <v/>
      </c>
      <c r="O47" s="35">
        <f>-IF(AND(O45&gt;0,O46&gt;0),'1_Hypotheses'!$D$46*MIN(O45,O46),0)</f>
        <v/>
      </c>
      <c r="P47" s="35">
        <f>-IF(AND(P45&gt;0,P46&gt;0),'1_Hypotheses'!$D$46*MIN(P45,P46),0)</f>
        <v/>
      </c>
      <c r="Q47" s="35">
        <f>-IF(AND(Q45&gt;0,Q46&gt;0),'1_Hypotheses'!$D$46*MIN(Q45,Q46),0)</f>
        <v/>
      </c>
      <c r="R47" s="35">
        <f>-IF(AND(R45&gt;0,R46&gt;0),'1_Hypotheses'!$D$46*MIN(R45,R46),0)</f>
        <v/>
      </c>
      <c r="S47" s="35">
        <f>-IF(AND(S45&gt;0,S46&gt;0),'1_Hypotheses'!$D$46*MIN(S45,S46),0)</f>
        <v/>
      </c>
      <c r="T47" s="35">
        <f>-IF(AND(T45&gt;0,T46&gt;0),'1_Hypotheses'!$D$46*MIN(T45,T46),0)</f>
        <v/>
      </c>
      <c r="U47" s="35">
        <f>-IF(AND(U45&gt;0,U46&gt;0),'1_Hypotheses'!$D$46*MIN(U45,U46),0)</f>
        <v/>
      </c>
      <c r="V47" s="35">
        <f>-IF(AND(V45&gt;0,V46&gt;0),'1_Hypotheses'!$D$46*MIN(V45,V46),0)</f>
        <v/>
      </c>
      <c r="W47" s="35">
        <f>-IF(AND(W45&gt;0,W46&gt;0),'1_Hypotheses'!$D$46*MIN(W45,W46),0)</f>
        <v/>
      </c>
      <c r="X47" s="35">
        <f>-IF(AND(X45&gt;0,X46&gt;0),'1_Hypotheses'!$D$46*MIN(X45,X46),0)</f>
        <v/>
      </c>
      <c r="Y47" s="35">
        <f>-IF(AND(Y45&gt;0,Y46&gt;0),'1_Hypotheses'!$D$46*MIN(Y45,Y46),0)</f>
        <v/>
      </c>
      <c r="Z47" s="35">
        <f>-IF(AND(Z45&gt;0,Z46&gt;0),'1_Hypotheses'!$D$46*MIN(Z45,Z46),0)</f>
        <v/>
      </c>
    </row>
    <row r="48">
      <c r="A48" s="45" t="inlineStr">
        <is>
          <t>RESULTAT NET MENSUEL</t>
        </is>
      </c>
      <c r="B48" s="26">
        <f>SUM(C48:Z48)</f>
        <v/>
      </c>
      <c r="C48" s="26">
        <f>C45+C47</f>
        <v/>
      </c>
      <c r="D48" s="26">
        <f>D45+D47</f>
        <v/>
      </c>
      <c r="E48" s="26">
        <f>E45+E47</f>
        <v/>
      </c>
      <c r="F48" s="26">
        <f>F45+F47</f>
        <v/>
      </c>
      <c r="G48" s="26">
        <f>G45+G47</f>
        <v/>
      </c>
      <c r="H48" s="26">
        <f>H45+H47</f>
        <v/>
      </c>
      <c r="I48" s="26">
        <f>I45+I47</f>
        <v/>
      </c>
      <c r="J48" s="26">
        <f>J45+J47</f>
        <v/>
      </c>
      <c r="K48" s="26">
        <f>K45+K47</f>
        <v/>
      </c>
      <c r="L48" s="26">
        <f>L45+L47</f>
        <v/>
      </c>
      <c r="M48" s="26">
        <f>M45+M47</f>
        <v/>
      </c>
      <c r="N48" s="26">
        <f>N45+N47</f>
        <v/>
      </c>
      <c r="O48" s="26">
        <f>O45+O47</f>
        <v/>
      </c>
      <c r="P48" s="26">
        <f>P45+P47</f>
        <v/>
      </c>
      <c r="Q48" s="26">
        <f>Q45+Q47</f>
        <v/>
      </c>
      <c r="R48" s="26">
        <f>R45+R47</f>
        <v/>
      </c>
      <c r="S48" s="26">
        <f>S45+S47</f>
        <v/>
      </c>
      <c r="T48" s="26">
        <f>T45+T47</f>
        <v/>
      </c>
      <c r="U48" s="26">
        <f>U45+U47</f>
        <v/>
      </c>
      <c r="V48" s="26">
        <f>V45+V47</f>
        <v/>
      </c>
      <c r="W48" s="26">
        <f>W45+W47</f>
        <v/>
      </c>
      <c r="X48" s="26">
        <f>X45+X47</f>
        <v/>
      </c>
      <c r="Y48" s="26">
        <f>Y45+Y47</f>
        <v/>
      </c>
      <c r="Z48" s="26">
        <f>Z45+Z47</f>
        <v/>
      </c>
    </row>
    <row r="49">
      <c r="A49" s="45" t="inlineStr">
        <is>
          <t>EQUILIBRE ECONOMIQUE CUMULE</t>
        </is>
      </c>
      <c r="B49" s="26">
        <f>Z49</f>
        <v/>
      </c>
      <c r="C49" s="26">
        <f>C48</f>
        <v/>
      </c>
      <c r="D49" s="26">
        <f>C49+D48</f>
        <v/>
      </c>
      <c r="E49" s="26">
        <f>D49+E48</f>
        <v/>
      </c>
      <c r="F49" s="26">
        <f>E49+F48</f>
        <v/>
      </c>
      <c r="G49" s="26">
        <f>F49+G48</f>
        <v/>
      </c>
      <c r="H49" s="26">
        <f>G49+H48</f>
        <v/>
      </c>
      <c r="I49" s="26">
        <f>H49+I48</f>
        <v/>
      </c>
      <c r="J49" s="26">
        <f>I49+J48</f>
        <v/>
      </c>
      <c r="K49" s="26">
        <f>J49+K48</f>
        <v/>
      </c>
      <c r="L49" s="26">
        <f>K49+L48</f>
        <v/>
      </c>
      <c r="M49" s="26">
        <f>L49+M48</f>
        <v/>
      </c>
      <c r="N49" s="26">
        <f>M49+N48</f>
        <v/>
      </c>
      <c r="O49" s="26">
        <f>N49+O48</f>
        <v/>
      </c>
      <c r="P49" s="26">
        <f>O49+P48</f>
        <v/>
      </c>
      <c r="Q49" s="26">
        <f>P49+Q48</f>
        <v/>
      </c>
      <c r="R49" s="26">
        <f>Q49+R48</f>
        <v/>
      </c>
      <c r="S49" s="26">
        <f>R49+S48</f>
        <v/>
      </c>
      <c r="T49" s="26">
        <f>S49+T48</f>
        <v/>
      </c>
      <c r="U49" s="26">
        <f>T49+U48</f>
        <v/>
      </c>
      <c r="V49" s="26">
        <f>U49+V48</f>
        <v/>
      </c>
      <c r="W49" s="26">
        <f>V49+W48</f>
        <v/>
      </c>
      <c r="X49" s="26">
        <f>W49+X48</f>
        <v/>
      </c>
      <c r="Y49" s="26">
        <f>X49+Y48</f>
        <v/>
      </c>
      <c r="Z49" s="26">
        <f>Y49+Z48</f>
        <v/>
      </c>
    </row>
    <row r="50">
      <c r="A50" s="41" t="inlineStr">
        <is>
          <t>Besoin de financement (point bas du cumul)</t>
        </is>
      </c>
      <c r="B50" s="47">
        <f>Z50</f>
        <v/>
      </c>
      <c r="C50" s="48">
        <f>MIN(0,MIN($C49:C49))</f>
        <v/>
      </c>
      <c r="D50" s="48">
        <f>MIN(0,MIN($C49:D49))</f>
        <v/>
      </c>
      <c r="E50" s="48">
        <f>MIN(0,MIN($C49:E49))</f>
        <v/>
      </c>
      <c r="F50" s="48">
        <f>MIN(0,MIN($C49:F49))</f>
        <v/>
      </c>
      <c r="G50" s="48">
        <f>MIN(0,MIN($C49:G49))</f>
        <v/>
      </c>
      <c r="H50" s="48">
        <f>MIN(0,MIN($C49:H49))</f>
        <v/>
      </c>
      <c r="I50" s="48">
        <f>MIN(0,MIN($C49:I49))</f>
        <v/>
      </c>
      <c r="J50" s="48">
        <f>MIN(0,MIN($C49:J49))</f>
        <v/>
      </c>
      <c r="K50" s="48">
        <f>MIN(0,MIN($C49:K49))</f>
        <v/>
      </c>
      <c r="L50" s="48">
        <f>MIN(0,MIN($C49:L49))</f>
        <v/>
      </c>
      <c r="M50" s="48">
        <f>MIN(0,MIN($C49:M49))</f>
        <v/>
      </c>
      <c r="N50" s="48">
        <f>MIN(0,MIN($C49:N49))</f>
        <v/>
      </c>
      <c r="O50" s="48">
        <f>MIN(0,MIN($C49:O49))</f>
        <v/>
      </c>
      <c r="P50" s="48">
        <f>MIN(0,MIN($C49:P49))</f>
        <v/>
      </c>
      <c r="Q50" s="48">
        <f>MIN(0,MIN($C49:Q49))</f>
        <v/>
      </c>
      <c r="R50" s="48">
        <f>MIN(0,MIN($C49:R49))</f>
        <v/>
      </c>
      <c r="S50" s="48">
        <f>MIN(0,MIN($C49:S49))</f>
        <v/>
      </c>
      <c r="T50" s="48">
        <f>MIN(0,MIN($C49:T49))</f>
        <v/>
      </c>
      <c r="U50" s="48">
        <f>MIN(0,MIN($C49:U49))</f>
        <v/>
      </c>
      <c r="V50" s="48">
        <f>MIN(0,MIN($C49:V49))</f>
        <v/>
      </c>
      <c r="W50" s="48">
        <f>MIN(0,MIN($C49:W49))</f>
        <v/>
      </c>
      <c r="X50" s="48">
        <f>MIN(0,MIN($C49:X49))</f>
        <v/>
      </c>
      <c r="Y50" s="48">
        <f>MIN(0,MIN($C49:Y49))</f>
        <v/>
      </c>
      <c r="Z50" s="48">
        <f>MIN(0,MIN($C49:Z49))</f>
        <v/>
      </c>
    </row>
    <row r="52">
      <c r="A52" s="3" t="inlineStr">
        <is>
          <t>Mémo TGC (neutre au résultat)</t>
        </is>
      </c>
      <c r="C52" s="49">
        <f>C20*'1_Hypotheses'!$D$47</f>
        <v/>
      </c>
      <c r="D52" s="49">
        <f>D20*'1_Hypotheses'!$D$47</f>
        <v/>
      </c>
      <c r="E52" s="49">
        <f>E20*'1_Hypotheses'!$D$47</f>
        <v/>
      </c>
      <c r="F52" s="49">
        <f>F20*'1_Hypotheses'!$D$47</f>
        <v/>
      </c>
      <c r="G52" s="49">
        <f>G20*'1_Hypotheses'!$D$47</f>
        <v/>
      </c>
      <c r="H52" s="49">
        <f>H20*'1_Hypotheses'!$D$47</f>
        <v/>
      </c>
      <c r="I52" s="49">
        <f>I20*'1_Hypotheses'!$D$47</f>
        <v/>
      </c>
      <c r="J52" s="49">
        <f>J20*'1_Hypotheses'!$D$47</f>
        <v/>
      </c>
      <c r="K52" s="49">
        <f>K20*'1_Hypotheses'!$D$47</f>
        <v/>
      </c>
      <c r="L52" s="49">
        <f>L20*'1_Hypotheses'!$D$47</f>
        <v/>
      </c>
      <c r="M52" s="49">
        <f>M20*'1_Hypotheses'!$D$47</f>
        <v/>
      </c>
      <c r="N52" s="49">
        <f>N20*'1_Hypotheses'!$D$47</f>
        <v/>
      </c>
      <c r="O52" s="49">
        <f>O20*'1_Hypotheses'!$D$47</f>
        <v/>
      </c>
      <c r="P52" s="49">
        <f>P20*'1_Hypotheses'!$D$47</f>
        <v/>
      </c>
      <c r="Q52" s="49">
        <f>Q20*'1_Hypotheses'!$D$47</f>
        <v/>
      </c>
      <c r="R52" s="49">
        <f>R20*'1_Hypotheses'!$D$47</f>
        <v/>
      </c>
      <c r="S52" s="49">
        <f>S20*'1_Hypotheses'!$D$47</f>
        <v/>
      </c>
      <c r="T52" s="49">
        <f>T20*'1_Hypotheses'!$D$47</f>
        <v/>
      </c>
      <c r="U52" s="49">
        <f>U20*'1_Hypotheses'!$D$47</f>
        <v/>
      </c>
      <c r="V52" s="49">
        <f>V20*'1_Hypotheses'!$D$47</f>
        <v/>
      </c>
      <c r="W52" s="49">
        <f>W20*'1_Hypotheses'!$D$47</f>
        <v/>
      </c>
      <c r="X52" s="49">
        <f>X20*'1_Hypotheses'!$D$47</f>
        <v/>
      </c>
      <c r="Y52" s="49">
        <f>Y20*'1_Hypotheses'!$D$47</f>
        <v/>
      </c>
      <c r="Z52" s="49">
        <f>Z20*'1_Hypotheses'!$D$47</f>
        <v/>
      </c>
    </row>
    <row r="54">
      <c r="A54" s="3" t="inlineStr">
        <is>
          <t>Marge contributive = chiffre d'affaires − coûts variables − reversements  (formule du dossier, section 6).</t>
        </is>
      </c>
    </row>
    <row r="55">
      <c r="A55" s="3" t="inlineStr">
        <is>
          <t>Equilibre économique = marge contributive + coûts évités − coûts fixes − investissements − fiscalité  (idem).</t>
        </is>
      </c>
    </row>
    <row r="56">
      <c r="A56" s="3" t="inlineStr">
        <is>
          <t>Les charges sont saisies en négatif : toutes les lignes s'additionnent, ce qui rend chaque total auditable.</t>
        </is>
      </c>
    </row>
    <row r="57">
      <c r="A57" s="3" t="inlineStr">
        <is>
          <t>La TGC est collectée puis reversée : elle n'affecte pas le résultat et figure pour mémoire.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c r="A1" s="1" t="inlineStr">
        <is>
          <t>COMPTE DE RESULTAT MENSUEL 24 MOIS - SCENARIO AMBITIEUX</t>
        </is>
      </c>
    </row>
    <row r="2">
      <c r="A2" s="3" t="inlineStr">
        <is>
          <t>Montants en XPF HT. Vue service Mobitag Nouvelle Génération (périmètre OPT-NC).</t>
        </is>
      </c>
    </row>
    <row r="3">
      <c r="A3" s="3" t="inlineStr">
        <is>
          <t>Aucune ligne de revenu issue de la vente de volume SMS au particulier.</t>
        </is>
      </c>
    </row>
    <row r="5">
      <c r="A5" s="39" t="inlineStr">
        <is>
          <t>Poste</t>
        </is>
      </c>
      <c r="B5" s="40" t="inlineStr">
        <is>
          <t>Total 24M</t>
        </is>
      </c>
      <c r="C5" s="40" t="inlineStr">
        <is>
          <t>M1</t>
        </is>
      </c>
      <c r="D5" s="40" t="inlineStr">
        <is>
          <t>M2</t>
        </is>
      </c>
      <c r="E5" s="40" t="inlineStr">
        <is>
          <t>M3</t>
        </is>
      </c>
      <c r="F5" s="40" t="inlineStr">
        <is>
          <t>M4</t>
        </is>
      </c>
      <c r="G5" s="40" t="inlineStr">
        <is>
          <t>M5</t>
        </is>
      </c>
      <c r="H5" s="40" t="inlineStr">
        <is>
          <t>M6</t>
        </is>
      </c>
      <c r="I5" s="40" t="inlineStr">
        <is>
          <t>M7</t>
        </is>
      </c>
      <c r="J5" s="40" t="inlineStr">
        <is>
          <t>M8</t>
        </is>
      </c>
      <c r="K5" s="40" t="inlineStr">
        <is>
          <t>M9</t>
        </is>
      </c>
      <c r="L5" s="40" t="inlineStr">
        <is>
          <t>M10</t>
        </is>
      </c>
      <c r="M5" s="40" t="inlineStr">
        <is>
          <t>M11</t>
        </is>
      </c>
      <c r="N5" s="40" t="inlineStr">
        <is>
          <t>M12</t>
        </is>
      </c>
      <c r="O5" s="40" t="inlineStr">
        <is>
          <t>M13</t>
        </is>
      </c>
      <c r="P5" s="40" t="inlineStr">
        <is>
          <t>M14</t>
        </is>
      </c>
      <c r="Q5" s="40" t="inlineStr">
        <is>
          <t>M15</t>
        </is>
      </c>
      <c r="R5" s="40" t="inlineStr">
        <is>
          <t>M16</t>
        </is>
      </c>
      <c r="S5" s="40" t="inlineStr">
        <is>
          <t>M17</t>
        </is>
      </c>
      <c r="T5" s="40" t="inlineStr">
        <is>
          <t>M18</t>
        </is>
      </c>
      <c r="U5" s="40" t="inlineStr">
        <is>
          <t>M19</t>
        </is>
      </c>
      <c r="V5" s="40" t="inlineStr">
        <is>
          <t>M20</t>
        </is>
      </c>
      <c r="W5" s="40" t="inlineStr">
        <is>
          <t>M21</t>
        </is>
      </c>
      <c r="X5" s="40" t="inlineStr">
        <is>
          <t>M22</t>
        </is>
      </c>
      <c r="Y5" s="40" t="inlineStr">
        <is>
          <t>M23</t>
        </is>
      </c>
      <c r="Z5" s="40" t="inlineStr">
        <is>
          <t>M24</t>
        </is>
      </c>
    </row>
    <row r="6">
      <c r="A6" s="4" t="inlineStr">
        <is>
          <t>VOLUMETRIE</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41" t="inlineStr">
        <is>
          <t>Utilisateurs actifs mensuels (MAU)</t>
        </is>
      </c>
      <c r="B7" s="42">
        <f>Z7</f>
        <v/>
      </c>
      <c r="C7" s="43">
        <f>'1_Hypotheses'!$E$7</f>
        <v/>
      </c>
      <c r="D7" s="43">
        <f>MIN('1_Hypotheses'!$E$9,C7*(1+'1_Hypotheses'!$E$8))</f>
        <v/>
      </c>
      <c r="E7" s="43">
        <f>MIN('1_Hypotheses'!$E$9,D7*(1+'1_Hypotheses'!$E$8))</f>
        <v/>
      </c>
      <c r="F7" s="43">
        <f>MIN('1_Hypotheses'!$E$9,E7*(1+'1_Hypotheses'!$E$8))</f>
        <v/>
      </c>
      <c r="G7" s="43">
        <f>MIN('1_Hypotheses'!$E$9,F7*(1+'1_Hypotheses'!$E$8))</f>
        <v/>
      </c>
      <c r="H7" s="43">
        <f>MIN('1_Hypotheses'!$E$9,G7*(1+'1_Hypotheses'!$E$8))</f>
        <v/>
      </c>
      <c r="I7" s="43">
        <f>MIN('1_Hypotheses'!$E$9,H7*(1+'1_Hypotheses'!$E$8))</f>
        <v/>
      </c>
      <c r="J7" s="43">
        <f>MIN('1_Hypotheses'!$E$9,I7*(1+'1_Hypotheses'!$E$8))</f>
        <v/>
      </c>
      <c r="K7" s="43">
        <f>MIN('1_Hypotheses'!$E$9,J7*(1+'1_Hypotheses'!$E$8))</f>
        <v/>
      </c>
      <c r="L7" s="43">
        <f>MIN('1_Hypotheses'!$E$9,K7*(1+'1_Hypotheses'!$E$8))</f>
        <v/>
      </c>
      <c r="M7" s="43">
        <f>MIN('1_Hypotheses'!$E$9,L7*(1+'1_Hypotheses'!$E$8))</f>
        <v/>
      </c>
      <c r="N7" s="43">
        <f>MIN('1_Hypotheses'!$E$9,M7*(1+'1_Hypotheses'!$E$8))</f>
        <v/>
      </c>
      <c r="O7" s="43">
        <f>MIN('1_Hypotheses'!$E$9,N7*(1+'1_Hypotheses'!$E$8))</f>
        <v/>
      </c>
      <c r="P7" s="43">
        <f>MIN('1_Hypotheses'!$E$9,O7*(1+'1_Hypotheses'!$E$8))</f>
        <v/>
      </c>
      <c r="Q7" s="43">
        <f>MIN('1_Hypotheses'!$E$9,P7*(1+'1_Hypotheses'!$E$8))</f>
        <v/>
      </c>
      <c r="R7" s="43">
        <f>MIN('1_Hypotheses'!$E$9,Q7*(1+'1_Hypotheses'!$E$8))</f>
        <v/>
      </c>
      <c r="S7" s="43">
        <f>MIN('1_Hypotheses'!$E$9,R7*(1+'1_Hypotheses'!$E$8))</f>
        <v/>
      </c>
      <c r="T7" s="43">
        <f>MIN('1_Hypotheses'!$E$9,S7*(1+'1_Hypotheses'!$E$8))</f>
        <v/>
      </c>
      <c r="U7" s="43">
        <f>MIN('1_Hypotheses'!$E$9,T7*(1+'1_Hypotheses'!$E$8))</f>
        <v/>
      </c>
      <c r="V7" s="43">
        <f>MIN('1_Hypotheses'!$E$9,U7*(1+'1_Hypotheses'!$E$8))</f>
        <v/>
      </c>
      <c r="W7" s="43">
        <f>MIN('1_Hypotheses'!$E$9,V7*(1+'1_Hypotheses'!$E$8))</f>
        <v/>
      </c>
      <c r="X7" s="43">
        <f>MIN('1_Hypotheses'!$E$9,W7*(1+'1_Hypotheses'!$E$8))</f>
        <v/>
      </c>
      <c r="Y7" s="43">
        <f>MIN('1_Hypotheses'!$E$9,X7*(1+'1_Hypotheses'!$E$8))</f>
        <v/>
      </c>
      <c r="Z7" s="43">
        <f>MIN('1_Hypotheses'!$E$9,Y7*(1+'1_Hypotheses'!$E$8))</f>
        <v/>
      </c>
    </row>
    <row r="8">
      <c r="A8" s="41" t="inlineStr">
        <is>
          <t>SMS gratuits envoyés</t>
        </is>
      </c>
      <c r="B8" s="42">
        <f>SUM(C8:Z8)</f>
        <v/>
      </c>
      <c r="C8" s="43">
        <f>C7*'1_Hypotheses'!$E$10</f>
        <v/>
      </c>
      <c r="D8" s="43">
        <f>D7*'1_Hypotheses'!$E$10</f>
        <v/>
      </c>
      <c r="E8" s="43">
        <f>E7*'1_Hypotheses'!$E$10</f>
        <v/>
      </c>
      <c r="F8" s="43">
        <f>F7*'1_Hypotheses'!$E$10</f>
        <v/>
      </c>
      <c r="G8" s="43">
        <f>G7*'1_Hypotheses'!$E$10</f>
        <v/>
      </c>
      <c r="H8" s="43">
        <f>H7*'1_Hypotheses'!$E$10</f>
        <v/>
      </c>
      <c r="I8" s="43">
        <f>I7*'1_Hypotheses'!$E$10</f>
        <v/>
      </c>
      <c r="J8" s="43">
        <f>J7*'1_Hypotheses'!$E$10</f>
        <v/>
      </c>
      <c r="K8" s="43">
        <f>K7*'1_Hypotheses'!$E$10</f>
        <v/>
      </c>
      <c r="L8" s="43">
        <f>L7*'1_Hypotheses'!$E$10</f>
        <v/>
      </c>
      <c r="M8" s="43">
        <f>M7*'1_Hypotheses'!$E$10</f>
        <v/>
      </c>
      <c r="N8" s="43">
        <f>N7*'1_Hypotheses'!$E$10</f>
        <v/>
      </c>
      <c r="O8" s="43">
        <f>O7*'1_Hypotheses'!$E$10</f>
        <v/>
      </c>
      <c r="P8" s="43">
        <f>P7*'1_Hypotheses'!$E$10</f>
        <v/>
      </c>
      <c r="Q8" s="43">
        <f>Q7*'1_Hypotheses'!$E$10</f>
        <v/>
      </c>
      <c r="R8" s="43">
        <f>R7*'1_Hypotheses'!$E$10</f>
        <v/>
      </c>
      <c r="S8" s="43">
        <f>S7*'1_Hypotheses'!$E$10</f>
        <v/>
      </c>
      <c r="T8" s="43">
        <f>T7*'1_Hypotheses'!$E$10</f>
        <v/>
      </c>
      <c r="U8" s="43">
        <f>U7*'1_Hypotheses'!$E$10</f>
        <v/>
      </c>
      <c r="V8" s="43">
        <f>V7*'1_Hypotheses'!$E$10</f>
        <v/>
      </c>
      <c r="W8" s="43">
        <f>W7*'1_Hypotheses'!$E$10</f>
        <v/>
      </c>
      <c r="X8" s="43">
        <f>X7*'1_Hypotheses'!$E$10</f>
        <v/>
      </c>
      <c r="Y8" s="43">
        <f>Y7*'1_Hypotheses'!$E$10</f>
        <v/>
      </c>
      <c r="Z8" s="43">
        <f>Z7*'1_Hypotheses'!$E$10</f>
        <v/>
      </c>
    </row>
    <row r="9">
      <c r="A9" s="41" t="inlineStr">
        <is>
          <t>Usages professionnels détectés</t>
        </is>
      </c>
      <c r="B9" s="44">
        <f>SUM(C9:Z9)</f>
        <v/>
      </c>
      <c r="C9" s="32">
        <f>C7*'1_Hypotheses'!$E$12</f>
        <v/>
      </c>
      <c r="D9" s="32">
        <f>D7*'1_Hypotheses'!$E$12</f>
        <v/>
      </c>
      <c r="E9" s="32">
        <f>E7*'1_Hypotheses'!$E$12</f>
        <v/>
      </c>
      <c r="F9" s="32">
        <f>F7*'1_Hypotheses'!$E$12</f>
        <v/>
      </c>
      <c r="G9" s="32">
        <f>G7*'1_Hypotheses'!$E$12</f>
        <v/>
      </c>
      <c r="H9" s="32">
        <f>H7*'1_Hypotheses'!$E$12</f>
        <v/>
      </c>
      <c r="I9" s="32">
        <f>I7*'1_Hypotheses'!$E$12</f>
        <v/>
      </c>
      <c r="J9" s="32">
        <f>J7*'1_Hypotheses'!$E$12</f>
        <v/>
      </c>
      <c r="K9" s="32">
        <f>K7*'1_Hypotheses'!$E$12</f>
        <v/>
      </c>
      <c r="L9" s="32">
        <f>L7*'1_Hypotheses'!$E$12</f>
        <v/>
      </c>
      <c r="M9" s="32">
        <f>M7*'1_Hypotheses'!$E$12</f>
        <v/>
      </c>
      <c r="N9" s="32">
        <f>N7*'1_Hypotheses'!$E$12</f>
        <v/>
      </c>
      <c r="O9" s="32">
        <f>O7*'1_Hypotheses'!$E$12</f>
        <v/>
      </c>
      <c r="P9" s="32">
        <f>P7*'1_Hypotheses'!$E$12</f>
        <v/>
      </c>
      <c r="Q9" s="32">
        <f>Q7*'1_Hypotheses'!$E$12</f>
        <v/>
      </c>
      <c r="R9" s="32">
        <f>R7*'1_Hypotheses'!$E$12</f>
        <v/>
      </c>
      <c r="S9" s="32">
        <f>S7*'1_Hypotheses'!$E$12</f>
        <v/>
      </c>
      <c r="T9" s="32">
        <f>T7*'1_Hypotheses'!$E$12</f>
        <v/>
      </c>
      <c r="U9" s="32">
        <f>U7*'1_Hypotheses'!$E$12</f>
        <v/>
      </c>
      <c r="V9" s="32">
        <f>V7*'1_Hypotheses'!$E$12</f>
        <v/>
      </c>
      <c r="W9" s="32">
        <f>W7*'1_Hypotheses'!$E$12</f>
        <v/>
      </c>
      <c r="X9" s="32">
        <f>X7*'1_Hypotheses'!$E$12</f>
        <v/>
      </c>
      <c r="Y9" s="32">
        <f>Y7*'1_Hypotheses'!$E$12</f>
        <v/>
      </c>
      <c r="Z9" s="32">
        <f>Z7*'1_Hypotheses'!$E$12</f>
        <v/>
      </c>
    </row>
    <row r="10">
      <c r="A10" s="41" t="inlineStr">
        <is>
          <t>Utilisateurs sans ligne active détectés</t>
        </is>
      </c>
      <c r="B10" s="42">
        <f>SUM(C10:Z10)</f>
        <v/>
      </c>
      <c r="C10" s="43">
        <f>C7*'1_Hypotheses'!$E$20</f>
        <v/>
      </c>
      <c r="D10" s="43">
        <f>D7*'1_Hypotheses'!$E$20</f>
        <v/>
      </c>
      <c r="E10" s="43">
        <f>E7*'1_Hypotheses'!$E$20</f>
        <v/>
      </c>
      <c r="F10" s="43">
        <f>F7*'1_Hypotheses'!$E$20</f>
        <v/>
      </c>
      <c r="G10" s="43">
        <f>G7*'1_Hypotheses'!$E$20</f>
        <v/>
      </c>
      <c r="H10" s="43">
        <f>H7*'1_Hypotheses'!$E$20</f>
        <v/>
      </c>
      <c r="I10" s="43">
        <f>I7*'1_Hypotheses'!$E$20</f>
        <v/>
      </c>
      <c r="J10" s="43">
        <f>J7*'1_Hypotheses'!$E$20</f>
        <v/>
      </c>
      <c r="K10" s="43">
        <f>K7*'1_Hypotheses'!$E$20</f>
        <v/>
      </c>
      <c r="L10" s="43">
        <f>L7*'1_Hypotheses'!$E$20</f>
        <v/>
      </c>
      <c r="M10" s="43">
        <f>M7*'1_Hypotheses'!$E$20</f>
        <v/>
      </c>
      <c r="N10" s="43">
        <f>N7*'1_Hypotheses'!$E$20</f>
        <v/>
      </c>
      <c r="O10" s="43">
        <f>O7*'1_Hypotheses'!$E$20</f>
        <v/>
      </c>
      <c r="P10" s="43">
        <f>P7*'1_Hypotheses'!$E$20</f>
        <v/>
      </c>
      <c r="Q10" s="43">
        <f>Q7*'1_Hypotheses'!$E$20</f>
        <v/>
      </c>
      <c r="R10" s="43">
        <f>R7*'1_Hypotheses'!$E$20</f>
        <v/>
      </c>
      <c r="S10" s="43">
        <f>S7*'1_Hypotheses'!$E$20</f>
        <v/>
      </c>
      <c r="T10" s="43">
        <f>T7*'1_Hypotheses'!$E$20</f>
        <v/>
      </c>
      <c r="U10" s="43">
        <f>U7*'1_Hypotheses'!$E$20</f>
        <v/>
      </c>
      <c r="V10" s="43">
        <f>V7*'1_Hypotheses'!$E$20</f>
        <v/>
      </c>
      <c r="W10" s="43">
        <f>W7*'1_Hypotheses'!$E$20</f>
        <v/>
      </c>
      <c r="X10" s="43">
        <f>X7*'1_Hypotheses'!$E$20</f>
        <v/>
      </c>
      <c r="Y10" s="43">
        <f>Y7*'1_Hypotheses'!$E$20</f>
        <v/>
      </c>
      <c r="Z10" s="43">
        <f>Z7*'1_Hypotheses'!$E$20</f>
        <v/>
      </c>
    </row>
    <row r="11">
      <c r="A11" s="4" t="inlineStr">
        <is>
          <t>APPORTS D'AFFAIRES - CONSTITUTION DES STOCKS</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41" t="inlineStr">
        <is>
          <t>Nouveaux clients Helia PRO apportés</t>
        </is>
      </c>
      <c r="B12" s="44">
        <f>SUM(C12:Z12)</f>
        <v/>
      </c>
      <c r="C12" s="32">
        <f>IF(1&gt;='1_Hypotheses'!$E$18,C9*'1_Hypotheses'!$E$13*'1_Hypotheses'!$E$14,0)</f>
        <v/>
      </c>
      <c r="D12" s="32">
        <f>IF(2&gt;='1_Hypotheses'!$E$18,D9*'1_Hypotheses'!$E$13*'1_Hypotheses'!$E$14,0)</f>
        <v/>
      </c>
      <c r="E12" s="32">
        <f>IF(3&gt;='1_Hypotheses'!$E$18,E9*'1_Hypotheses'!$E$13*'1_Hypotheses'!$E$14,0)</f>
        <v/>
      </c>
      <c r="F12" s="32">
        <f>IF(4&gt;='1_Hypotheses'!$E$18,F9*'1_Hypotheses'!$E$13*'1_Hypotheses'!$E$14,0)</f>
        <v/>
      </c>
      <c r="G12" s="32">
        <f>IF(5&gt;='1_Hypotheses'!$E$18,G9*'1_Hypotheses'!$E$13*'1_Hypotheses'!$E$14,0)</f>
        <v/>
      </c>
      <c r="H12" s="32">
        <f>IF(6&gt;='1_Hypotheses'!$E$18,H9*'1_Hypotheses'!$E$13*'1_Hypotheses'!$E$14,0)</f>
        <v/>
      </c>
      <c r="I12" s="32">
        <f>IF(7&gt;='1_Hypotheses'!$E$18,I9*'1_Hypotheses'!$E$13*'1_Hypotheses'!$E$14,0)</f>
        <v/>
      </c>
      <c r="J12" s="32">
        <f>IF(8&gt;='1_Hypotheses'!$E$18,J9*'1_Hypotheses'!$E$13*'1_Hypotheses'!$E$14,0)</f>
        <v/>
      </c>
      <c r="K12" s="32">
        <f>IF(9&gt;='1_Hypotheses'!$E$18,K9*'1_Hypotheses'!$E$13*'1_Hypotheses'!$E$14,0)</f>
        <v/>
      </c>
      <c r="L12" s="32">
        <f>IF(10&gt;='1_Hypotheses'!$E$18,L9*'1_Hypotheses'!$E$13*'1_Hypotheses'!$E$14,0)</f>
        <v/>
      </c>
      <c r="M12" s="32">
        <f>IF(11&gt;='1_Hypotheses'!$E$18,M9*'1_Hypotheses'!$E$13*'1_Hypotheses'!$E$14,0)</f>
        <v/>
      </c>
      <c r="N12" s="32">
        <f>IF(12&gt;='1_Hypotheses'!$E$18,N9*'1_Hypotheses'!$E$13*'1_Hypotheses'!$E$14,0)</f>
        <v/>
      </c>
      <c r="O12" s="32">
        <f>IF(13&gt;='1_Hypotheses'!$E$18,O9*'1_Hypotheses'!$E$13*'1_Hypotheses'!$E$14,0)</f>
        <v/>
      </c>
      <c r="P12" s="32">
        <f>IF(14&gt;='1_Hypotheses'!$E$18,P9*'1_Hypotheses'!$E$13*'1_Hypotheses'!$E$14,0)</f>
        <v/>
      </c>
      <c r="Q12" s="32">
        <f>IF(15&gt;='1_Hypotheses'!$E$18,Q9*'1_Hypotheses'!$E$13*'1_Hypotheses'!$E$14,0)</f>
        <v/>
      </c>
      <c r="R12" s="32">
        <f>IF(16&gt;='1_Hypotheses'!$E$18,R9*'1_Hypotheses'!$E$13*'1_Hypotheses'!$E$14,0)</f>
        <v/>
      </c>
      <c r="S12" s="32">
        <f>IF(17&gt;='1_Hypotheses'!$E$18,S9*'1_Hypotheses'!$E$13*'1_Hypotheses'!$E$14,0)</f>
        <v/>
      </c>
      <c r="T12" s="32">
        <f>IF(18&gt;='1_Hypotheses'!$E$18,T9*'1_Hypotheses'!$E$13*'1_Hypotheses'!$E$14,0)</f>
        <v/>
      </c>
      <c r="U12" s="32">
        <f>IF(19&gt;='1_Hypotheses'!$E$18,U9*'1_Hypotheses'!$E$13*'1_Hypotheses'!$E$14,0)</f>
        <v/>
      </c>
      <c r="V12" s="32">
        <f>IF(20&gt;='1_Hypotheses'!$E$18,V9*'1_Hypotheses'!$E$13*'1_Hypotheses'!$E$14,0)</f>
        <v/>
      </c>
      <c r="W12" s="32">
        <f>IF(21&gt;='1_Hypotheses'!$E$18,W9*'1_Hypotheses'!$E$13*'1_Hypotheses'!$E$14,0)</f>
        <v/>
      </c>
      <c r="X12" s="32">
        <f>IF(22&gt;='1_Hypotheses'!$E$18,X9*'1_Hypotheses'!$E$13*'1_Hypotheses'!$E$14,0)</f>
        <v/>
      </c>
      <c r="Y12" s="32">
        <f>IF(23&gt;='1_Hypotheses'!$E$18,Y9*'1_Hypotheses'!$E$13*'1_Hypotheses'!$E$14,0)</f>
        <v/>
      </c>
      <c r="Z12" s="32">
        <f>IF(24&gt;='1_Hypotheses'!$E$18,Z9*'1_Hypotheses'!$E$13*'1_Hypotheses'!$E$14,0)</f>
        <v/>
      </c>
    </row>
    <row r="13">
      <c r="A13" s="41" t="inlineStr">
        <is>
          <t>Stock de clients Helia PRO apportés</t>
        </is>
      </c>
      <c r="B13" s="44">
        <f>Z13</f>
        <v/>
      </c>
      <c r="C13" s="32">
        <f>C12</f>
        <v/>
      </c>
      <c r="D13" s="32">
        <f>C13*(1-'1_Hypotheses'!$E$17)+D12</f>
        <v/>
      </c>
      <c r="E13" s="32">
        <f>D13*(1-'1_Hypotheses'!$E$17)+E12</f>
        <v/>
      </c>
      <c r="F13" s="32">
        <f>E13*(1-'1_Hypotheses'!$E$17)+F12</f>
        <v/>
      </c>
      <c r="G13" s="32">
        <f>F13*(1-'1_Hypotheses'!$E$17)+G12</f>
        <v/>
      </c>
      <c r="H13" s="32">
        <f>G13*(1-'1_Hypotheses'!$E$17)+H12</f>
        <v/>
      </c>
      <c r="I13" s="32">
        <f>H13*(1-'1_Hypotheses'!$E$17)+I12</f>
        <v/>
      </c>
      <c r="J13" s="32">
        <f>I13*(1-'1_Hypotheses'!$E$17)+J12</f>
        <v/>
      </c>
      <c r="K13" s="32">
        <f>J13*(1-'1_Hypotheses'!$E$17)+K12</f>
        <v/>
      </c>
      <c r="L13" s="32">
        <f>K13*(1-'1_Hypotheses'!$E$17)+L12</f>
        <v/>
      </c>
      <c r="M13" s="32">
        <f>L13*(1-'1_Hypotheses'!$E$17)+M12</f>
        <v/>
      </c>
      <c r="N13" s="32">
        <f>M13*(1-'1_Hypotheses'!$E$17)+N12</f>
        <v/>
      </c>
      <c r="O13" s="32">
        <f>N13*(1-'1_Hypotheses'!$E$17)+O12</f>
        <v/>
      </c>
      <c r="P13" s="32">
        <f>O13*(1-'1_Hypotheses'!$E$17)+P12</f>
        <v/>
      </c>
      <c r="Q13" s="32">
        <f>P13*(1-'1_Hypotheses'!$E$17)+Q12</f>
        <v/>
      </c>
      <c r="R13" s="32">
        <f>Q13*(1-'1_Hypotheses'!$E$17)+R12</f>
        <v/>
      </c>
      <c r="S13" s="32">
        <f>R13*(1-'1_Hypotheses'!$E$17)+S12</f>
        <v/>
      </c>
      <c r="T13" s="32">
        <f>S13*(1-'1_Hypotheses'!$E$17)+T12</f>
        <v/>
      </c>
      <c r="U13" s="32">
        <f>T13*(1-'1_Hypotheses'!$E$17)+U12</f>
        <v/>
      </c>
      <c r="V13" s="32">
        <f>U13*(1-'1_Hypotheses'!$E$17)+V12</f>
        <v/>
      </c>
      <c r="W13" s="32">
        <f>V13*(1-'1_Hypotheses'!$E$17)+W12</f>
        <v/>
      </c>
      <c r="X13" s="32">
        <f>W13*(1-'1_Hypotheses'!$E$17)+X12</f>
        <v/>
      </c>
      <c r="Y13" s="32">
        <f>X13*(1-'1_Hypotheses'!$E$17)+Y12</f>
        <v/>
      </c>
      <c r="Z13" s="32">
        <f>Y13*(1-'1_Hypotheses'!$E$17)+Z12</f>
        <v/>
      </c>
    </row>
    <row r="14">
      <c r="A14" s="41" t="inlineStr">
        <is>
          <t>Nouvelles lignes grand public activées</t>
        </is>
      </c>
      <c r="B14" s="44">
        <f>SUM(C14:Z14)</f>
        <v/>
      </c>
      <c r="C14" s="32">
        <f>IF(1&gt;='1_Hypotheses'!$E$26,C10*'1_Hypotheses'!$E$21*'1_Hypotheses'!$E$22,0)</f>
        <v/>
      </c>
      <c r="D14" s="32">
        <f>IF(2&gt;='1_Hypotheses'!$E$26,D10*'1_Hypotheses'!$E$21*'1_Hypotheses'!$E$22,0)</f>
        <v/>
      </c>
      <c r="E14" s="32">
        <f>IF(3&gt;='1_Hypotheses'!$E$26,E10*'1_Hypotheses'!$E$21*'1_Hypotheses'!$E$22,0)</f>
        <v/>
      </c>
      <c r="F14" s="32">
        <f>IF(4&gt;='1_Hypotheses'!$E$26,F10*'1_Hypotheses'!$E$21*'1_Hypotheses'!$E$22,0)</f>
        <v/>
      </c>
      <c r="G14" s="32">
        <f>IF(5&gt;='1_Hypotheses'!$E$26,G10*'1_Hypotheses'!$E$21*'1_Hypotheses'!$E$22,0)</f>
        <v/>
      </c>
      <c r="H14" s="32">
        <f>IF(6&gt;='1_Hypotheses'!$E$26,H10*'1_Hypotheses'!$E$21*'1_Hypotheses'!$E$22,0)</f>
        <v/>
      </c>
      <c r="I14" s="32">
        <f>IF(7&gt;='1_Hypotheses'!$E$26,I10*'1_Hypotheses'!$E$21*'1_Hypotheses'!$E$22,0)</f>
        <v/>
      </c>
      <c r="J14" s="32">
        <f>IF(8&gt;='1_Hypotheses'!$E$26,J10*'1_Hypotheses'!$E$21*'1_Hypotheses'!$E$22,0)</f>
        <v/>
      </c>
      <c r="K14" s="32">
        <f>IF(9&gt;='1_Hypotheses'!$E$26,K10*'1_Hypotheses'!$E$21*'1_Hypotheses'!$E$22,0)</f>
        <v/>
      </c>
      <c r="L14" s="32">
        <f>IF(10&gt;='1_Hypotheses'!$E$26,L10*'1_Hypotheses'!$E$21*'1_Hypotheses'!$E$22,0)</f>
        <v/>
      </c>
      <c r="M14" s="32">
        <f>IF(11&gt;='1_Hypotheses'!$E$26,M10*'1_Hypotheses'!$E$21*'1_Hypotheses'!$E$22,0)</f>
        <v/>
      </c>
      <c r="N14" s="32">
        <f>IF(12&gt;='1_Hypotheses'!$E$26,N10*'1_Hypotheses'!$E$21*'1_Hypotheses'!$E$22,0)</f>
        <v/>
      </c>
      <c r="O14" s="32">
        <f>IF(13&gt;='1_Hypotheses'!$E$26,O10*'1_Hypotheses'!$E$21*'1_Hypotheses'!$E$22,0)</f>
        <v/>
      </c>
      <c r="P14" s="32">
        <f>IF(14&gt;='1_Hypotheses'!$E$26,P10*'1_Hypotheses'!$E$21*'1_Hypotheses'!$E$22,0)</f>
        <v/>
      </c>
      <c r="Q14" s="32">
        <f>IF(15&gt;='1_Hypotheses'!$E$26,Q10*'1_Hypotheses'!$E$21*'1_Hypotheses'!$E$22,0)</f>
        <v/>
      </c>
      <c r="R14" s="32">
        <f>IF(16&gt;='1_Hypotheses'!$E$26,R10*'1_Hypotheses'!$E$21*'1_Hypotheses'!$E$22,0)</f>
        <v/>
      </c>
      <c r="S14" s="32">
        <f>IF(17&gt;='1_Hypotheses'!$E$26,S10*'1_Hypotheses'!$E$21*'1_Hypotheses'!$E$22,0)</f>
        <v/>
      </c>
      <c r="T14" s="32">
        <f>IF(18&gt;='1_Hypotheses'!$E$26,T10*'1_Hypotheses'!$E$21*'1_Hypotheses'!$E$22,0)</f>
        <v/>
      </c>
      <c r="U14" s="32">
        <f>IF(19&gt;='1_Hypotheses'!$E$26,U10*'1_Hypotheses'!$E$21*'1_Hypotheses'!$E$22,0)</f>
        <v/>
      </c>
      <c r="V14" s="32">
        <f>IF(20&gt;='1_Hypotheses'!$E$26,V10*'1_Hypotheses'!$E$21*'1_Hypotheses'!$E$22,0)</f>
        <v/>
      </c>
      <c r="W14" s="32">
        <f>IF(21&gt;='1_Hypotheses'!$E$26,W10*'1_Hypotheses'!$E$21*'1_Hypotheses'!$E$22,0)</f>
        <v/>
      </c>
      <c r="X14" s="32">
        <f>IF(22&gt;='1_Hypotheses'!$E$26,X10*'1_Hypotheses'!$E$21*'1_Hypotheses'!$E$22,0)</f>
        <v/>
      </c>
      <c r="Y14" s="32">
        <f>IF(23&gt;='1_Hypotheses'!$E$26,Y10*'1_Hypotheses'!$E$21*'1_Hypotheses'!$E$22,0)</f>
        <v/>
      </c>
      <c r="Z14" s="32">
        <f>IF(24&gt;='1_Hypotheses'!$E$26,Z10*'1_Hypotheses'!$E$21*'1_Hypotheses'!$E$22,0)</f>
        <v/>
      </c>
    </row>
    <row r="15">
      <c r="A15" s="41" t="inlineStr">
        <is>
          <t>Stock de lignes grand public apportées</t>
        </is>
      </c>
      <c r="B15" s="44">
        <f>Z15</f>
        <v/>
      </c>
      <c r="C15" s="32">
        <f>C14</f>
        <v/>
      </c>
      <c r="D15" s="32">
        <f>C15*(1-'1_Hypotheses'!$E$25)+D14</f>
        <v/>
      </c>
      <c r="E15" s="32">
        <f>D15*(1-'1_Hypotheses'!$E$25)+E14</f>
        <v/>
      </c>
      <c r="F15" s="32">
        <f>E15*(1-'1_Hypotheses'!$E$25)+F14</f>
        <v/>
      </c>
      <c r="G15" s="32">
        <f>F15*(1-'1_Hypotheses'!$E$25)+G14</f>
        <v/>
      </c>
      <c r="H15" s="32">
        <f>G15*(1-'1_Hypotheses'!$E$25)+H14</f>
        <v/>
      </c>
      <c r="I15" s="32">
        <f>H15*(1-'1_Hypotheses'!$E$25)+I14</f>
        <v/>
      </c>
      <c r="J15" s="32">
        <f>I15*(1-'1_Hypotheses'!$E$25)+J14</f>
        <v/>
      </c>
      <c r="K15" s="32">
        <f>J15*(1-'1_Hypotheses'!$E$25)+K14</f>
        <v/>
      </c>
      <c r="L15" s="32">
        <f>K15*(1-'1_Hypotheses'!$E$25)+L14</f>
        <v/>
      </c>
      <c r="M15" s="32">
        <f>L15*(1-'1_Hypotheses'!$E$25)+M14</f>
        <v/>
      </c>
      <c r="N15" s="32">
        <f>M15*(1-'1_Hypotheses'!$E$25)+N14</f>
        <v/>
      </c>
      <c r="O15" s="32">
        <f>N15*(1-'1_Hypotheses'!$E$25)+O14</f>
        <v/>
      </c>
      <c r="P15" s="32">
        <f>O15*(1-'1_Hypotheses'!$E$25)+P14</f>
        <v/>
      </c>
      <c r="Q15" s="32">
        <f>P15*(1-'1_Hypotheses'!$E$25)+Q14</f>
        <v/>
      </c>
      <c r="R15" s="32">
        <f>Q15*(1-'1_Hypotheses'!$E$25)+R14</f>
        <v/>
      </c>
      <c r="S15" s="32">
        <f>R15*(1-'1_Hypotheses'!$E$25)+S14</f>
        <v/>
      </c>
      <c r="T15" s="32">
        <f>S15*(1-'1_Hypotheses'!$E$25)+T14</f>
        <v/>
      </c>
      <c r="U15" s="32">
        <f>T15*(1-'1_Hypotheses'!$E$25)+U14</f>
        <v/>
      </c>
      <c r="V15" s="32">
        <f>U15*(1-'1_Hypotheses'!$E$25)+V14</f>
        <v/>
      </c>
      <c r="W15" s="32">
        <f>V15*(1-'1_Hypotheses'!$E$25)+W14</f>
        <v/>
      </c>
      <c r="X15" s="32">
        <f>W15*(1-'1_Hypotheses'!$E$25)+X14</f>
        <v/>
      </c>
      <c r="Y15" s="32">
        <f>X15*(1-'1_Hypotheses'!$E$25)+Y14</f>
        <v/>
      </c>
      <c r="Z15" s="32">
        <f>Y15*(1-'1_Hypotheses'!$E$25)+Z14</f>
        <v/>
      </c>
    </row>
    <row r="16">
      <c r="A16" s="4" t="inlineStr">
        <is>
          <t>CHIFFRE D'AFFAIRES / VALEUR CREEE</t>
        </is>
      </c>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41" t="inlineStr">
        <is>
          <t>Apport d'affaires B2B - Helia PRO</t>
        </is>
      </c>
      <c r="B17" s="22">
        <f>SUM(C17:Z17)</f>
        <v/>
      </c>
      <c r="C17" s="35">
        <f>C13*'1_Hypotheses'!$E$15/12*'1_Hypotheses'!$E$16</f>
        <v/>
      </c>
      <c r="D17" s="35">
        <f>D13*'1_Hypotheses'!$E$15/12*'1_Hypotheses'!$E$16</f>
        <v/>
      </c>
      <c r="E17" s="35">
        <f>E13*'1_Hypotheses'!$E$15/12*'1_Hypotheses'!$E$16</f>
        <v/>
      </c>
      <c r="F17" s="35">
        <f>F13*'1_Hypotheses'!$E$15/12*'1_Hypotheses'!$E$16</f>
        <v/>
      </c>
      <c r="G17" s="35">
        <f>G13*'1_Hypotheses'!$E$15/12*'1_Hypotheses'!$E$16</f>
        <v/>
      </c>
      <c r="H17" s="35">
        <f>H13*'1_Hypotheses'!$E$15/12*'1_Hypotheses'!$E$16</f>
        <v/>
      </c>
      <c r="I17" s="35">
        <f>I13*'1_Hypotheses'!$E$15/12*'1_Hypotheses'!$E$16</f>
        <v/>
      </c>
      <c r="J17" s="35">
        <f>J13*'1_Hypotheses'!$E$15/12*'1_Hypotheses'!$E$16</f>
        <v/>
      </c>
      <c r="K17" s="35">
        <f>K13*'1_Hypotheses'!$E$15/12*'1_Hypotheses'!$E$16</f>
        <v/>
      </c>
      <c r="L17" s="35">
        <f>L13*'1_Hypotheses'!$E$15/12*'1_Hypotheses'!$E$16</f>
        <v/>
      </c>
      <c r="M17" s="35">
        <f>M13*'1_Hypotheses'!$E$15/12*'1_Hypotheses'!$E$16</f>
        <v/>
      </c>
      <c r="N17" s="35">
        <f>N13*'1_Hypotheses'!$E$15/12*'1_Hypotheses'!$E$16</f>
        <v/>
      </c>
      <c r="O17" s="35">
        <f>O13*'1_Hypotheses'!$E$15/12*'1_Hypotheses'!$E$16</f>
        <v/>
      </c>
      <c r="P17" s="35">
        <f>P13*'1_Hypotheses'!$E$15/12*'1_Hypotheses'!$E$16</f>
        <v/>
      </c>
      <c r="Q17" s="35">
        <f>Q13*'1_Hypotheses'!$E$15/12*'1_Hypotheses'!$E$16</f>
        <v/>
      </c>
      <c r="R17" s="35">
        <f>R13*'1_Hypotheses'!$E$15/12*'1_Hypotheses'!$E$16</f>
        <v/>
      </c>
      <c r="S17" s="35">
        <f>S13*'1_Hypotheses'!$E$15/12*'1_Hypotheses'!$E$16</f>
        <v/>
      </c>
      <c r="T17" s="35">
        <f>T13*'1_Hypotheses'!$E$15/12*'1_Hypotheses'!$E$16</f>
        <v/>
      </c>
      <c r="U17" s="35">
        <f>U13*'1_Hypotheses'!$E$15/12*'1_Hypotheses'!$E$16</f>
        <v/>
      </c>
      <c r="V17" s="35">
        <f>V13*'1_Hypotheses'!$E$15/12*'1_Hypotheses'!$E$16</f>
        <v/>
      </c>
      <c r="W17" s="35">
        <f>W13*'1_Hypotheses'!$E$15/12*'1_Hypotheses'!$E$16</f>
        <v/>
      </c>
      <c r="X17" s="35">
        <f>X13*'1_Hypotheses'!$E$15/12*'1_Hypotheses'!$E$16</f>
        <v/>
      </c>
      <c r="Y17" s="35">
        <f>Y13*'1_Hypotheses'!$E$15/12*'1_Hypotheses'!$E$16</f>
        <v/>
      </c>
      <c r="Z17" s="35">
        <f>Z13*'1_Hypotheses'!$E$15/12*'1_Hypotheses'!$E$16</f>
        <v/>
      </c>
    </row>
    <row r="18">
      <c r="A18" s="41" t="inlineStr">
        <is>
          <t>Apport d'affaires B2C - activation de lignes</t>
        </is>
      </c>
      <c r="B18" s="22">
        <f>SUM(C18:Z18)</f>
        <v/>
      </c>
      <c r="C18" s="35">
        <f>C15*'1_Hypotheses'!$E$23/12*'1_Hypotheses'!$E$24</f>
        <v/>
      </c>
      <c r="D18" s="35">
        <f>D15*'1_Hypotheses'!$E$23/12*'1_Hypotheses'!$E$24</f>
        <v/>
      </c>
      <c r="E18" s="35">
        <f>E15*'1_Hypotheses'!$E$23/12*'1_Hypotheses'!$E$24</f>
        <v/>
      </c>
      <c r="F18" s="35">
        <f>F15*'1_Hypotheses'!$E$23/12*'1_Hypotheses'!$E$24</f>
        <v/>
      </c>
      <c r="G18" s="35">
        <f>G15*'1_Hypotheses'!$E$23/12*'1_Hypotheses'!$E$24</f>
        <v/>
      </c>
      <c r="H18" s="35">
        <f>H15*'1_Hypotheses'!$E$23/12*'1_Hypotheses'!$E$24</f>
        <v/>
      </c>
      <c r="I18" s="35">
        <f>I15*'1_Hypotheses'!$E$23/12*'1_Hypotheses'!$E$24</f>
        <v/>
      </c>
      <c r="J18" s="35">
        <f>J15*'1_Hypotheses'!$E$23/12*'1_Hypotheses'!$E$24</f>
        <v/>
      </c>
      <c r="K18" s="35">
        <f>K15*'1_Hypotheses'!$E$23/12*'1_Hypotheses'!$E$24</f>
        <v/>
      </c>
      <c r="L18" s="35">
        <f>L15*'1_Hypotheses'!$E$23/12*'1_Hypotheses'!$E$24</f>
        <v/>
      </c>
      <c r="M18" s="35">
        <f>M15*'1_Hypotheses'!$E$23/12*'1_Hypotheses'!$E$24</f>
        <v/>
      </c>
      <c r="N18" s="35">
        <f>N15*'1_Hypotheses'!$E$23/12*'1_Hypotheses'!$E$24</f>
        <v/>
      </c>
      <c r="O18" s="35">
        <f>O15*'1_Hypotheses'!$E$23/12*'1_Hypotheses'!$E$24</f>
        <v/>
      </c>
      <c r="P18" s="35">
        <f>P15*'1_Hypotheses'!$E$23/12*'1_Hypotheses'!$E$24</f>
        <v/>
      </c>
      <c r="Q18" s="35">
        <f>Q15*'1_Hypotheses'!$E$23/12*'1_Hypotheses'!$E$24</f>
        <v/>
      </c>
      <c r="R18" s="35">
        <f>R15*'1_Hypotheses'!$E$23/12*'1_Hypotheses'!$E$24</f>
        <v/>
      </c>
      <c r="S18" s="35">
        <f>S15*'1_Hypotheses'!$E$23/12*'1_Hypotheses'!$E$24</f>
        <v/>
      </c>
      <c r="T18" s="35">
        <f>T15*'1_Hypotheses'!$E$23/12*'1_Hypotheses'!$E$24</f>
        <v/>
      </c>
      <c r="U18" s="35">
        <f>U15*'1_Hypotheses'!$E$23/12*'1_Hypotheses'!$E$24</f>
        <v/>
      </c>
      <c r="V18" s="35">
        <f>V15*'1_Hypotheses'!$E$23/12*'1_Hypotheses'!$E$24</f>
        <v/>
      </c>
      <c r="W18" s="35">
        <f>W15*'1_Hypotheses'!$E$23/12*'1_Hypotheses'!$E$24</f>
        <v/>
      </c>
      <c r="X18" s="35">
        <f>X15*'1_Hypotheses'!$E$23/12*'1_Hypotheses'!$E$24</f>
        <v/>
      </c>
      <c r="Y18" s="35">
        <f>Y15*'1_Hypotheses'!$E$23/12*'1_Hypotheses'!$E$24</f>
        <v/>
      </c>
      <c r="Z18" s="35">
        <f>Z15*'1_Hypotheses'!$E$23/12*'1_Hypotheses'!$E$24</f>
        <v/>
      </c>
    </row>
    <row r="19">
      <c r="A19" s="41" t="inlineStr">
        <is>
          <t>Sponsoring consenti</t>
        </is>
      </c>
      <c r="B19" s="22">
        <f>SUM(C19:Z19)</f>
        <v/>
      </c>
      <c r="C19" s="35">
        <f>IF(1&lt;'1_Hypotheses'!$E$29,0,'1_Hypotheses'!$E$28*MIN(1,(1-'1_Hypotheses'!$E$29+1)/'1_Hypotheses'!$E$30))</f>
        <v/>
      </c>
      <c r="D19" s="35">
        <f>IF(2&lt;'1_Hypotheses'!$E$29,0,'1_Hypotheses'!$E$28*MIN(1,(2-'1_Hypotheses'!$E$29+1)/'1_Hypotheses'!$E$30))</f>
        <v/>
      </c>
      <c r="E19" s="35">
        <f>IF(3&lt;'1_Hypotheses'!$E$29,0,'1_Hypotheses'!$E$28*MIN(1,(3-'1_Hypotheses'!$E$29+1)/'1_Hypotheses'!$E$30))</f>
        <v/>
      </c>
      <c r="F19" s="35">
        <f>IF(4&lt;'1_Hypotheses'!$E$29,0,'1_Hypotheses'!$E$28*MIN(1,(4-'1_Hypotheses'!$E$29+1)/'1_Hypotheses'!$E$30))</f>
        <v/>
      </c>
      <c r="G19" s="35">
        <f>IF(5&lt;'1_Hypotheses'!$E$29,0,'1_Hypotheses'!$E$28*MIN(1,(5-'1_Hypotheses'!$E$29+1)/'1_Hypotheses'!$E$30))</f>
        <v/>
      </c>
      <c r="H19" s="35">
        <f>IF(6&lt;'1_Hypotheses'!$E$29,0,'1_Hypotheses'!$E$28*MIN(1,(6-'1_Hypotheses'!$E$29+1)/'1_Hypotheses'!$E$30))</f>
        <v/>
      </c>
      <c r="I19" s="35">
        <f>IF(7&lt;'1_Hypotheses'!$E$29,0,'1_Hypotheses'!$E$28*MIN(1,(7-'1_Hypotheses'!$E$29+1)/'1_Hypotheses'!$E$30))</f>
        <v/>
      </c>
      <c r="J19" s="35">
        <f>IF(8&lt;'1_Hypotheses'!$E$29,0,'1_Hypotheses'!$E$28*MIN(1,(8-'1_Hypotheses'!$E$29+1)/'1_Hypotheses'!$E$30))</f>
        <v/>
      </c>
      <c r="K19" s="35">
        <f>IF(9&lt;'1_Hypotheses'!$E$29,0,'1_Hypotheses'!$E$28*MIN(1,(9-'1_Hypotheses'!$E$29+1)/'1_Hypotheses'!$E$30))</f>
        <v/>
      </c>
      <c r="L19" s="35">
        <f>IF(10&lt;'1_Hypotheses'!$E$29,0,'1_Hypotheses'!$E$28*MIN(1,(10-'1_Hypotheses'!$E$29+1)/'1_Hypotheses'!$E$30))</f>
        <v/>
      </c>
      <c r="M19" s="35">
        <f>IF(11&lt;'1_Hypotheses'!$E$29,0,'1_Hypotheses'!$E$28*MIN(1,(11-'1_Hypotheses'!$E$29+1)/'1_Hypotheses'!$E$30))</f>
        <v/>
      </c>
      <c r="N19" s="35">
        <f>IF(12&lt;'1_Hypotheses'!$E$29,0,'1_Hypotheses'!$E$28*MIN(1,(12-'1_Hypotheses'!$E$29+1)/'1_Hypotheses'!$E$30))</f>
        <v/>
      </c>
      <c r="O19" s="35">
        <f>IF(13&lt;'1_Hypotheses'!$E$29,0,'1_Hypotheses'!$E$28*MIN(1,(13-'1_Hypotheses'!$E$29+1)/'1_Hypotheses'!$E$30))</f>
        <v/>
      </c>
      <c r="P19" s="35">
        <f>IF(14&lt;'1_Hypotheses'!$E$29,0,'1_Hypotheses'!$E$28*MIN(1,(14-'1_Hypotheses'!$E$29+1)/'1_Hypotheses'!$E$30))</f>
        <v/>
      </c>
      <c r="Q19" s="35">
        <f>IF(15&lt;'1_Hypotheses'!$E$29,0,'1_Hypotheses'!$E$28*MIN(1,(15-'1_Hypotheses'!$E$29+1)/'1_Hypotheses'!$E$30))</f>
        <v/>
      </c>
      <c r="R19" s="35">
        <f>IF(16&lt;'1_Hypotheses'!$E$29,0,'1_Hypotheses'!$E$28*MIN(1,(16-'1_Hypotheses'!$E$29+1)/'1_Hypotheses'!$E$30))</f>
        <v/>
      </c>
      <c r="S19" s="35">
        <f>IF(17&lt;'1_Hypotheses'!$E$29,0,'1_Hypotheses'!$E$28*MIN(1,(17-'1_Hypotheses'!$E$29+1)/'1_Hypotheses'!$E$30))</f>
        <v/>
      </c>
      <c r="T19" s="35">
        <f>IF(18&lt;'1_Hypotheses'!$E$29,0,'1_Hypotheses'!$E$28*MIN(1,(18-'1_Hypotheses'!$E$29+1)/'1_Hypotheses'!$E$30))</f>
        <v/>
      </c>
      <c r="U19" s="35">
        <f>IF(19&lt;'1_Hypotheses'!$E$29,0,'1_Hypotheses'!$E$28*MIN(1,(19-'1_Hypotheses'!$E$29+1)/'1_Hypotheses'!$E$30))</f>
        <v/>
      </c>
      <c r="V19" s="35">
        <f>IF(20&lt;'1_Hypotheses'!$E$29,0,'1_Hypotheses'!$E$28*MIN(1,(20-'1_Hypotheses'!$E$29+1)/'1_Hypotheses'!$E$30))</f>
        <v/>
      </c>
      <c r="W19" s="35">
        <f>IF(21&lt;'1_Hypotheses'!$E$29,0,'1_Hypotheses'!$E$28*MIN(1,(21-'1_Hypotheses'!$E$29+1)/'1_Hypotheses'!$E$30))</f>
        <v/>
      </c>
      <c r="X19" s="35">
        <f>IF(22&lt;'1_Hypotheses'!$E$29,0,'1_Hypotheses'!$E$28*MIN(1,(22-'1_Hypotheses'!$E$29+1)/'1_Hypotheses'!$E$30))</f>
        <v/>
      </c>
      <c r="Y19" s="35">
        <f>IF(23&lt;'1_Hypotheses'!$E$29,0,'1_Hypotheses'!$E$28*MIN(1,(23-'1_Hypotheses'!$E$29+1)/'1_Hypotheses'!$E$30))</f>
        <v/>
      </c>
      <c r="Z19" s="35">
        <f>IF(24&lt;'1_Hypotheses'!$E$29,0,'1_Hypotheses'!$E$28*MIN(1,(24-'1_Hypotheses'!$E$29+1)/'1_Hypotheses'!$E$30))</f>
        <v/>
      </c>
    </row>
    <row r="20">
      <c r="A20" s="45" t="inlineStr">
        <is>
          <t>CHIFFRE D'AFFAIRES TOTAL</t>
        </is>
      </c>
      <c r="B20" s="22">
        <f>SUM(C20:Z20)</f>
        <v/>
      </c>
      <c r="C20" s="22">
        <f>SUM(C17:C19)</f>
        <v/>
      </c>
      <c r="D20" s="22">
        <f>SUM(D17:D19)</f>
        <v/>
      </c>
      <c r="E20" s="22">
        <f>SUM(E17:E19)</f>
        <v/>
      </c>
      <c r="F20" s="22">
        <f>SUM(F17:F19)</f>
        <v/>
      </c>
      <c r="G20" s="22">
        <f>SUM(G17:G19)</f>
        <v/>
      </c>
      <c r="H20" s="22">
        <f>SUM(H17:H19)</f>
        <v/>
      </c>
      <c r="I20" s="22">
        <f>SUM(I17:I19)</f>
        <v/>
      </c>
      <c r="J20" s="22">
        <f>SUM(J17:J19)</f>
        <v/>
      </c>
      <c r="K20" s="22">
        <f>SUM(K17:K19)</f>
        <v/>
      </c>
      <c r="L20" s="22">
        <f>SUM(L17:L19)</f>
        <v/>
      </c>
      <c r="M20" s="22">
        <f>SUM(M17:M19)</f>
        <v/>
      </c>
      <c r="N20" s="22">
        <f>SUM(N17:N19)</f>
        <v/>
      </c>
      <c r="O20" s="22">
        <f>SUM(O17:O19)</f>
        <v/>
      </c>
      <c r="P20" s="22">
        <f>SUM(P17:P19)</f>
        <v/>
      </c>
      <c r="Q20" s="22">
        <f>SUM(Q17:Q19)</f>
        <v/>
      </c>
      <c r="R20" s="22">
        <f>SUM(R17:R19)</f>
        <v/>
      </c>
      <c r="S20" s="22">
        <f>SUM(S17:S19)</f>
        <v/>
      </c>
      <c r="T20" s="22">
        <f>SUM(T17:T19)</f>
        <v/>
      </c>
      <c r="U20" s="22">
        <f>SUM(U17:U19)</f>
        <v/>
      </c>
      <c r="V20" s="22">
        <f>SUM(V17:V19)</f>
        <v/>
      </c>
      <c r="W20" s="22">
        <f>SUM(W17:W19)</f>
        <v/>
      </c>
      <c r="X20" s="22">
        <f>SUM(X17:X19)</f>
        <v/>
      </c>
      <c r="Y20" s="22">
        <f>SUM(Y17:Y19)</f>
        <v/>
      </c>
      <c r="Z20" s="22">
        <f>SUM(Z17:Z19)</f>
        <v/>
      </c>
    </row>
    <row r="21">
      <c r="A21" s="4" t="inlineStr">
        <is>
          <t>COUTS VARIABLES ET REVERSEMENTS</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41" t="inlineStr">
        <is>
          <t>Acheminement des SMS gratuits</t>
        </is>
      </c>
      <c r="B22" s="22">
        <f>SUM(C22:Z22)</f>
        <v/>
      </c>
      <c r="C22" s="35">
        <f>-C8*'1_Hypotheses'!$E$33</f>
        <v/>
      </c>
      <c r="D22" s="35">
        <f>-D8*'1_Hypotheses'!$E$33</f>
        <v/>
      </c>
      <c r="E22" s="35">
        <f>-E8*'1_Hypotheses'!$E$33</f>
        <v/>
      </c>
      <c r="F22" s="35">
        <f>-F8*'1_Hypotheses'!$E$33</f>
        <v/>
      </c>
      <c r="G22" s="35">
        <f>-G8*'1_Hypotheses'!$E$33</f>
        <v/>
      </c>
      <c r="H22" s="35">
        <f>-H8*'1_Hypotheses'!$E$33</f>
        <v/>
      </c>
      <c r="I22" s="35">
        <f>-I8*'1_Hypotheses'!$E$33</f>
        <v/>
      </c>
      <c r="J22" s="35">
        <f>-J8*'1_Hypotheses'!$E$33</f>
        <v/>
      </c>
      <c r="K22" s="35">
        <f>-K8*'1_Hypotheses'!$E$33</f>
        <v/>
      </c>
      <c r="L22" s="35">
        <f>-L8*'1_Hypotheses'!$E$33</f>
        <v/>
      </c>
      <c r="M22" s="35">
        <f>-M8*'1_Hypotheses'!$E$33</f>
        <v/>
      </c>
      <c r="N22" s="35">
        <f>-N8*'1_Hypotheses'!$E$33</f>
        <v/>
      </c>
      <c r="O22" s="35">
        <f>-O8*'1_Hypotheses'!$E$33</f>
        <v/>
      </c>
      <c r="P22" s="35">
        <f>-P8*'1_Hypotheses'!$E$33</f>
        <v/>
      </c>
      <c r="Q22" s="35">
        <f>-Q8*'1_Hypotheses'!$E$33</f>
        <v/>
      </c>
      <c r="R22" s="35">
        <f>-R8*'1_Hypotheses'!$E$33</f>
        <v/>
      </c>
      <c r="S22" s="35">
        <f>-S8*'1_Hypotheses'!$E$33</f>
        <v/>
      </c>
      <c r="T22" s="35">
        <f>-T8*'1_Hypotheses'!$E$33</f>
        <v/>
      </c>
      <c r="U22" s="35">
        <f>-U8*'1_Hypotheses'!$E$33</f>
        <v/>
      </c>
      <c r="V22" s="35">
        <f>-V8*'1_Hypotheses'!$E$33</f>
        <v/>
      </c>
      <c r="W22" s="35">
        <f>-W8*'1_Hypotheses'!$E$33</f>
        <v/>
      </c>
      <c r="X22" s="35">
        <f>-X8*'1_Hypotheses'!$E$33</f>
        <v/>
      </c>
      <c r="Y22" s="35">
        <f>-Y8*'1_Hypotheses'!$E$33</f>
        <v/>
      </c>
      <c r="Z22" s="35">
        <f>-Z8*'1_Hypotheses'!$E$33</f>
        <v/>
      </c>
    </row>
    <row r="23">
      <c r="A23" s="41" t="inlineStr">
        <is>
          <t>Infrastructure variable</t>
        </is>
      </c>
      <c r="B23" s="22">
        <f>SUM(C23:Z23)</f>
        <v/>
      </c>
      <c r="C23" s="35">
        <f>-C7*'1_Hypotheses'!$E$34</f>
        <v/>
      </c>
      <c r="D23" s="35">
        <f>-D7*'1_Hypotheses'!$E$34</f>
        <v/>
      </c>
      <c r="E23" s="35">
        <f>-E7*'1_Hypotheses'!$E$34</f>
        <v/>
      </c>
      <c r="F23" s="35">
        <f>-F7*'1_Hypotheses'!$E$34</f>
        <v/>
      </c>
      <c r="G23" s="35">
        <f>-G7*'1_Hypotheses'!$E$34</f>
        <v/>
      </c>
      <c r="H23" s="35">
        <f>-H7*'1_Hypotheses'!$E$34</f>
        <v/>
      </c>
      <c r="I23" s="35">
        <f>-I7*'1_Hypotheses'!$E$34</f>
        <v/>
      </c>
      <c r="J23" s="35">
        <f>-J7*'1_Hypotheses'!$E$34</f>
        <v/>
      </c>
      <c r="K23" s="35">
        <f>-K7*'1_Hypotheses'!$E$34</f>
        <v/>
      </c>
      <c r="L23" s="35">
        <f>-L7*'1_Hypotheses'!$E$34</f>
        <v/>
      </c>
      <c r="M23" s="35">
        <f>-M7*'1_Hypotheses'!$E$34</f>
        <v/>
      </c>
      <c r="N23" s="35">
        <f>-N7*'1_Hypotheses'!$E$34</f>
        <v/>
      </c>
      <c r="O23" s="35">
        <f>-O7*'1_Hypotheses'!$E$34</f>
        <v/>
      </c>
      <c r="P23" s="35">
        <f>-P7*'1_Hypotheses'!$E$34</f>
        <v/>
      </c>
      <c r="Q23" s="35">
        <f>-Q7*'1_Hypotheses'!$E$34</f>
        <v/>
      </c>
      <c r="R23" s="35">
        <f>-R7*'1_Hypotheses'!$E$34</f>
        <v/>
      </c>
      <c r="S23" s="35">
        <f>-S7*'1_Hypotheses'!$E$34</f>
        <v/>
      </c>
      <c r="T23" s="35">
        <f>-T7*'1_Hypotheses'!$E$34</f>
        <v/>
      </c>
      <c r="U23" s="35">
        <f>-U7*'1_Hypotheses'!$E$34</f>
        <v/>
      </c>
      <c r="V23" s="35">
        <f>-V7*'1_Hypotheses'!$E$34</f>
        <v/>
      </c>
      <c r="W23" s="35">
        <f>-W7*'1_Hypotheses'!$E$34</f>
        <v/>
      </c>
      <c r="X23" s="35">
        <f>-X7*'1_Hypotheses'!$E$34</f>
        <v/>
      </c>
      <c r="Y23" s="35">
        <f>-Y7*'1_Hypotheses'!$E$34</f>
        <v/>
      </c>
      <c r="Z23" s="35">
        <f>-Z7*'1_Hypotheses'!$E$34</f>
        <v/>
      </c>
    </row>
    <row r="24">
      <c r="A24" s="41" t="inlineStr">
        <is>
          <t>Reversement régie sponsoring</t>
        </is>
      </c>
      <c r="B24" s="22">
        <f>SUM(C24:Z24)</f>
        <v/>
      </c>
      <c r="C24" s="35">
        <f>-C19*'1_Hypotheses'!$E$31</f>
        <v/>
      </c>
      <c r="D24" s="35">
        <f>-D19*'1_Hypotheses'!$E$31</f>
        <v/>
      </c>
      <c r="E24" s="35">
        <f>-E19*'1_Hypotheses'!$E$31</f>
        <v/>
      </c>
      <c r="F24" s="35">
        <f>-F19*'1_Hypotheses'!$E$31</f>
        <v/>
      </c>
      <c r="G24" s="35">
        <f>-G19*'1_Hypotheses'!$E$31</f>
        <v/>
      </c>
      <c r="H24" s="35">
        <f>-H19*'1_Hypotheses'!$E$31</f>
        <v/>
      </c>
      <c r="I24" s="35">
        <f>-I19*'1_Hypotheses'!$E$31</f>
        <v/>
      </c>
      <c r="J24" s="35">
        <f>-J19*'1_Hypotheses'!$E$31</f>
        <v/>
      </c>
      <c r="K24" s="35">
        <f>-K19*'1_Hypotheses'!$E$31</f>
        <v/>
      </c>
      <c r="L24" s="35">
        <f>-L19*'1_Hypotheses'!$E$31</f>
        <v/>
      </c>
      <c r="M24" s="35">
        <f>-M19*'1_Hypotheses'!$E$31</f>
        <v/>
      </c>
      <c r="N24" s="35">
        <f>-N19*'1_Hypotheses'!$E$31</f>
        <v/>
      </c>
      <c r="O24" s="35">
        <f>-O19*'1_Hypotheses'!$E$31</f>
        <v/>
      </c>
      <c r="P24" s="35">
        <f>-P19*'1_Hypotheses'!$E$31</f>
        <v/>
      </c>
      <c r="Q24" s="35">
        <f>-Q19*'1_Hypotheses'!$E$31</f>
        <v/>
      </c>
      <c r="R24" s="35">
        <f>-R19*'1_Hypotheses'!$E$31</f>
        <v/>
      </c>
      <c r="S24" s="35">
        <f>-S19*'1_Hypotheses'!$E$31</f>
        <v/>
      </c>
      <c r="T24" s="35">
        <f>-T19*'1_Hypotheses'!$E$31</f>
        <v/>
      </c>
      <c r="U24" s="35">
        <f>-U19*'1_Hypotheses'!$E$31</f>
        <v/>
      </c>
      <c r="V24" s="35">
        <f>-V19*'1_Hypotheses'!$E$31</f>
        <v/>
      </c>
      <c r="W24" s="35">
        <f>-W19*'1_Hypotheses'!$E$31</f>
        <v/>
      </c>
      <c r="X24" s="35">
        <f>-X19*'1_Hypotheses'!$E$31</f>
        <v/>
      </c>
      <c r="Y24" s="35">
        <f>-Y19*'1_Hypotheses'!$E$31</f>
        <v/>
      </c>
      <c r="Z24" s="35">
        <f>-Z19*'1_Hypotheses'!$E$31</f>
        <v/>
      </c>
    </row>
    <row r="25">
      <c r="A25" s="45" t="inlineStr">
        <is>
          <t>TOTAL COUTS VARIABLES ET REVERSEMENTS</t>
        </is>
      </c>
      <c r="B25" s="22">
        <f>SUM(C25:Z25)</f>
        <v/>
      </c>
      <c r="C25" s="22">
        <f>SUM(C22:C24)</f>
        <v/>
      </c>
      <c r="D25" s="22">
        <f>SUM(D22:D24)</f>
        <v/>
      </c>
      <c r="E25" s="22">
        <f>SUM(E22:E24)</f>
        <v/>
      </c>
      <c r="F25" s="22">
        <f>SUM(F22:F24)</f>
        <v/>
      </c>
      <c r="G25" s="22">
        <f>SUM(G22:G24)</f>
        <v/>
      </c>
      <c r="H25" s="22">
        <f>SUM(H22:H24)</f>
        <v/>
      </c>
      <c r="I25" s="22">
        <f>SUM(I22:I24)</f>
        <v/>
      </c>
      <c r="J25" s="22">
        <f>SUM(J22:J24)</f>
        <v/>
      </c>
      <c r="K25" s="22">
        <f>SUM(K22:K24)</f>
        <v/>
      </c>
      <c r="L25" s="22">
        <f>SUM(L22:L24)</f>
        <v/>
      </c>
      <c r="M25" s="22">
        <f>SUM(M22:M24)</f>
        <v/>
      </c>
      <c r="N25" s="22">
        <f>SUM(N22:N24)</f>
        <v/>
      </c>
      <c r="O25" s="22">
        <f>SUM(O22:O24)</f>
        <v/>
      </c>
      <c r="P25" s="22">
        <f>SUM(P22:P24)</f>
        <v/>
      </c>
      <c r="Q25" s="22">
        <f>SUM(Q22:Q24)</f>
        <v/>
      </c>
      <c r="R25" s="22">
        <f>SUM(R22:R24)</f>
        <v/>
      </c>
      <c r="S25" s="22">
        <f>SUM(S22:S24)</f>
        <v/>
      </c>
      <c r="T25" s="22">
        <f>SUM(T22:T24)</f>
        <v/>
      </c>
      <c r="U25" s="22">
        <f>SUM(U22:U24)</f>
        <v/>
      </c>
      <c r="V25" s="22">
        <f>SUM(V22:V24)</f>
        <v/>
      </c>
      <c r="W25" s="22">
        <f>SUM(W22:W24)</f>
        <v/>
      </c>
      <c r="X25" s="22">
        <f>SUM(X22:X24)</f>
        <v/>
      </c>
      <c r="Y25" s="22">
        <f>SUM(Y22:Y24)</f>
        <v/>
      </c>
      <c r="Z25" s="22">
        <f>SUM(Z22:Z24)</f>
        <v/>
      </c>
    </row>
    <row r="26">
      <c r="A26" s="45" t="inlineStr">
        <is>
          <t>MARGE CONTRIBUTIVE</t>
        </is>
      </c>
      <c r="B26" s="26">
        <f>SUM(C26:Z26)</f>
        <v/>
      </c>
      <c r="C26" s="26">
        <f>C20+C25</f>
        <v/>
      </c>
      <c r="D26" s="26">
        <f>D20+D25</f>
        <v/>
      </c>
      <c r="E26" s="26">
        <f>E20+E25</f>
        <v/>
      </c>
      <c r="F26" s="26">
        <f>F20+F25</f>
        <v/>
      </c>
      <c r="G26" s="26">
        <f>G20+G25</f>
        <v/>
      </c>
      <c r="H26" s="26">
        <f>H20+H25</f>
        <v/>
      </c>
      <c r="I26" s="26">
        <f>I20+I25</f>
        <v/>
      </c>
      <c r="J26" s="26">
        <f>J20+J25</f>
        <v/>
      </c>
      <c r="K26" s="26">
        <f>K20+K25</f>
        <v/>
      </c>
      <c r="L26" s="26">
        <f>L20+L25</f>
        <v/>
      </c>
      <c r="M26" s="26">
        <f>M20+M25</f>
        <v/>
      </c>
      <c r="N26" s="26">
        <f>N20+N25</f>
        <v/>
      </c>
      <c r="O26" s="26">
        <f>O20+O25</f>
        <v/>
      </c>
      <c r="P26" s="26">
        <f>P20+P25</f>
        <v/>
      </c>
      <c r="Q26" s="26">
        <f>Q20+Q25</f>
        <v/>
      </c>
      <c r="R26" s="26">
        <f>R20+R25</f>
        <v/>
      </c>
      <c r="S26" s="26">
        <f>S20+S25</f>
        <v/>
      </c>
      <c r="T26" s="26">
        <f>T20+T25</f>
        <v/>
      </c>
      <c r="U26" s="26">
        <f>U20+U25</f>
        <v/>
      </c>
      <c r="V26" s="26">
        <f>V20+V25</f>
        <v/>
      </c>
      <c r="W26" s="26">
        <f>W20+W25</f>
        <v/>
      </c>
      <c r="X26" s="26">
        <f>X20+X25</f>
        <v/>
      </c>
      <c r="Y26" s="26">
        <f>Y20+Y25</f>
        <v/>
      </c>
      <c r="Z26" s="26">
        <f>Z20+Z25</f>
        <v/>
      </c>
    </row>
    <row r="27">
      <c r="A27" s="4" t="inlineStr">
        <is>
          <t>COUTS EVITES  (arrêt du service historique)</t>
        </is>
      </c>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41" t="inlineStr">
        <is>
          <t>Taux de réalisation des économies</t>
        </is>
      </c>
      <c r="B28" s="46">
        <f>Z28</f>
        <v/>
      </c>
      <c r="C28" s="38">
        <f>IF(1&lt;'1_Hypotheses'!$E$48,0,MIN(1,(1-'1_Hypotheses'!$E$48+1)/'1_Hypotheses'!$E$49))</f>
        <v/>
      </c>
      <c r="D28" s="38">
        <f>IF(2&lt;'1_Hypotheses'!$E$48,0,MIN(1,(2-'1_Hypotheses'!$E$48+1)/'1_Hypotheses'!$E$49))</f>
        <v/>
      </c>
      <c r="E28" s="38">
        <f>IF(3&lt;'1_Hypotheses'!$E$48,0,MIN(1,(3-'1_Hypotheses'!$E$48+1)/'1_Hypotheses'!$E$49))</f>
        <v/>
      </c>
      <c r="F28" s="38">
        <f>IF(4&lt;'1_Hypotheses'!$E$48,0,MIN(1,(4-'1_Hypotheses'!$E$48+1)/'1_Hypotheses'!$E$49))</f>
        <v/>
      </c>
      <c r="G28" s="38">
        <f>IF(5&lt;'1_Hypotheses'!$E$48,0,MIN(1,(5-'1_Hypotheses'!$E$48+1)/'1_Hypotheses'!$E$49))</f>
        <v/>
      </c>
      <c r="H28" s="38">
        <f>IF(6&lt;'1_Hypotheses'!$E$48,0,MIN(1,(6-'1_Hypotheses'!$E$48+1)/'1_Hypotheses'!$E$49))</f>
        <v/>
      </c>
      <c r="I28" s="38">
        <f>IF(7&lt;'1_Hypotheses'!$E$48,0,MIN(1,(7-'1_Hypotheses'!$E$48+1)/'1_Hypotheses'!$E$49))</f>
        <v/>
      </c>
      <c r="J28" s="38">
        <f>IF(8&lt;'1_Hypotheses'!$E$48,0,MIN(1,(8-'1_Hypotheses'!$E$48+1)/'1_Hypotheses'!$E$49))</f>
        <v/>
      </c>
      <c r="K28" s="38">
        <f>IF(9&lt;'1_Hypotheses'!$E$48,0,MIN(1,(9-'1_Hypotheses'!$E$48+1)/'1_Hypotheses'!$E$49))</f>
        <v/>
      </c>
      <c r="L28" s="38">
        <f>IF(10&lt;'1_Hypotheses'!$E$48,0,MIN(1,(10-'1_Hypotheses'!$E$48+1)/'1_Hypotheses'!$E$49))</f>
        <v/>
      </c>
      <c r="M28" s="38">
        <f>IF(11&lt;'1_Hypotheses'!$E$48,0,MIN(1,(11-'1_Hypotheses'!$E$48+1)/'1_Hypotheses'!$E$49))</f>
        <v/>
      </c>
      <c r="N28" s="38">
        <f>IF(12&lt;'1_Hypotheses'!$E$48,0,MIN(1,(12-'1_Hypotheses'!$E$48+1)/'1_Hypotheses'!$E$49))</f>
        <v/>
      </c>
      <c r="O28" s="38">
        <f>IF(13&lt;'1_Hypotheses'!$E$48,0,MIN(1,(13-'1_Hypotheses'!$E$48+1)/'1_Hypotheses'!$E$49))</f>
        <v/>
      </c>
      <c r="P28" s="38">
        <f>IF(14&lt;'1_Hypotheses'!$E$48,0,MIN(1,(14-'1_Hypotheses'!$E$48+1)/'1_Hypotheses'!$E$49))</f>
        <v/>
      </c>
      <c r="Q28" s="38">
        <f>IF(15&lt;'1_Hypotheses'!$E$48,0,MIN(1,(15-'1_Hypotheses'!$E$48+1)/'1_Hypotheses'!$E$49))</f>
        <v/>
      </c>
      <c r="R28" s="38">
        <f>IF(16&lt;'1_Hypotheses'!$E$48,0,MIN(1,(16-'1_Hypotheses'!$E$48+1)/'1_Hypotheses'!$E$49))</f>
        <v/>
      </c>
      <c r="S28" s="38">
        <f>IF(17&lt;'1_Hypotheses'!$E$48,0,MIN(1,(17-'1_Hypotheses'!$E$48+1)/'1_Hypotheses'!$E$49))</f>
        <v/>
      </c>
      <c r="T28" s="38">
        <f>IF(18&lt;'1_Hypotheses'!$E$48,0,MIN(1,(18-'1_Hypotheses'!$E$48+1)/'1_Hypotheses'!$E$49))</f>
        <v/>
      </c>
      <c r="U28" s="38">
        <f>IF(19&lt;'1_Hypotheses'!$E$48,0,MIN(1,(19-'1_Hypotheses'!$E$48+1)/'1_Hypotheses'!$E$49))</f>
        <v/>
      </c>
      <c r="V28" s="38">
        <f>IF(20&lt;'1_Hypotheses'!$E$48,0,MIN(1,(20-'1_Hypotheses'!$E$48+1)/'1_Hypotheses'!$E$49))</f>
        <v/>
      </c>
      <c r="W28" s="38">
        <f>IF(21&lt;'1_Hypotheses'!$E$48,0,MIN(1,(21-'1_Hypotheses'!$E$48+1)/'1_Hypotheses'!$E$49))</f>
        <v/>
      </c>
      <c r="X28" s="38">
        <f>IF(22&lt;'1_Hypotheses'!$E$48,0,MIN(1,(22-'1_Hypotheses'!$E$48+1)/'1_Hypotheses'!$E$49))</f>
        <v/>
      </c>
      <c r="Y28" s="38">
        <f>IF(23&lt;'1_Hypotheses'!$E$48,0,MIN(1,(23-'1_Hypotheses'!$E$48+1)/'1_Hypotheses'!$E$49))</f>
        <v/>
      </c>
      <c r="Z28" s="38">
        <f>IF(24&lt;'1_Hypotheses'!$E$48,0,MIN(1,(24-'1_Hypotheses'!$E$48+1)/'1_Hypotheses'!$E$49))</f>
        <v/>
      </c>
    </row>
    <row r="29">
      <c r="A29" s="41" t="inlineStr">
        <is>
          <t xml:space="preserve">  Hébergement et infrastructure on-premise allouée</t>
        </is>
      </c>
      <c r="B29" s="22">
        <f>SUM(C29:Z29)</f>
        <v/>
      </c>
      <c r="C29" s="35">
        <f>'2_Couts_evites'!$B$6*'2_Couts_evites'!$E$6/12*C28</f>
        <v/>
      </c>
      <c r="D29" s="35">
        <f>'2_Couts_evites'!$B$6*'2_Couts_evites'!$E$6/12*D28</f>
        <v/>
      </c>
      <c r="E29" s="35">
        <f>'2_Couts_evites'!$B$6*'2_Couts_evites'!$E$6/12*E28</f>
        <v/>
      </c>
      <c r="F29" s="35">
        <f>'2_Couts_evites'!$B$6*'2_Couts_evites'!$E$6/12*F28</f>
        <v/>
      </c>
      <c r="G29" s="35">
        <f>'2_Couts_evites'!$B$6*'2_Couts_evites'!$E$6/12*G28</f>
        <v/>
      </c>
      <c r="H29" s="35">
        <f>'2_Couts_evites'!$B$6*'2_Couts_evites'!$E$6/12*H28</f>
        <v/>
      </c>
      <c r="I29" s="35">
        <f>'2_Couts_evites'!$B$6*'2_Couts_evites'!$E$6/12*I28</f>
        <v/>
      </c>
      <c r="J29" s="35">
        <f>'2_Couts_evites'!$B$6*'2_Couts_evites'!$E$6/12*J28</f>
        <v/>
      </c>
      <c r="K29" s="35">
        <f>'2_Couts_evites'!$B$6*'2_Couts_evites'!$E$6/12*K28</f>
        <v/>
      </c>
      <c r="L29" s="35">
        <f>'2_Couts_evites'!$B$6*'2_Couts_evites'!$E$6/12*L28</f>
        <v/>
      </c>
      <c r="M29" s="35">
        <f>'2_Couts_evites'!$B$6*'2_Couts_evites'!$E$6/12*M28</f>
        <v/>
      </c>
      <c r="N29" s="35">
        <f>'2_Couts_evites'!$B$6*'2_Couts_evites'!$E$6/12*N28</f>
        <v/>
      </c>
      <c r="O29" s="35">
        <f>'2_Couts_evites'!$B$6*'2_Couts_evites'!$E$6/12*O28</f>
        <v/>
      </c>
      <c r="P29" s="35">
        <f>'2_Couts_evites'!$B$6*'2_Couts_evites'!$E$6/12*P28</f>
        <v/>
      </c>
      <c r="Q29" s="35">
        <f>'2_Couts_evites'!$B$6*'2_Couts_evites'!$E$6/12*Q28</f>
        <v/>
      </c>
      <c r="R29" s="35">
        <f>'2_Couts_evites'!$B$6*'2_Couts_evites'!$E$6/12*R28</f>
        <v/>
      </c>
      <c r="S29" s="35">
        <f>'2_Couts_evites'!$B$6*'2_Couts_evites'!$E$6/12*S28</f>
        <v/>
      </c>
      <c r="T29" s="35">
        <f>'2_Couts_evites'!$B$6*'2_Couts_evites'!$E$6/12*T28</f>
        <v/>
      </c>
      <c r="U29" s="35">
        <f>'2_Couts_evites'!$B$6*'2_Couts_evites'!$E$6/12*U28</f>
        <v/>
      </c>
      <c r="V29" s="35">
        <f>'2_Couts_evites'!$B$6*'2_Couts_evites'!$E$6/12*V28</f>
        <v/>
      </c>
      <c r="W29" s="35">
        <f>'2_Couts_evites'!$B$6*'2_Couts_evites'!$E$6/12*W28</f>
        <v/>
      </c>
      <c r="X29" s="35">
        <f>'2_Couts_evites'!$B$6*'2_Couts_evites'!$E$6/12*X28</f>
        <v/>
      </c>
      <c r="Y29" s="35">
        <f>'2_Couts_evites'!$B$6*'2_Couts_evites'!$E$6/12*Y28</f>
        <v/>
      </c>
      <c r="Z29" s="35">
        <f>'2_Couts_evites'!$B$6*'2_Couts_evites'!$E$6/12*Z28</f>
        <v/>
      </c>
    </row>
    <row r="30">
      <c r="A30" s="41" t="inlineStr">
        <is>
          <t xml:space="preserve">  TMA et maintenance corrective</t>
        </is>
      </c>
      <c r="B30" s="22">
        <f>SUM(C30:Z30)</f>
        <v/>
      </c>
      <c r="C30" s="35">
        <f>'2_Couts_evites'!$B$7*'2_Couts_evites'!$E$7/12*C28</f>
        <v/>
      </c>
      <c r="D30" s="35">
        <f>'2_Couts_evites'!$B$7*'2_Couts_evites'!$E$7/12*D28</f>
        <v/>
      </c>
      <c r="E30" s="35">
        <f>'2_Couts_evites'!$B$7*'2_Couts_evites'!$E$7/12*E28</f>
        <v/>
      </c>
      <c r="F30" s="35">
        <f>'2_Couts_evites'!$B$7*'2_Couts_evites'!$E$7/12*F28</f>
        <v/>
      </c>
      <c r="G30" s="35">
        <f>'2_Couts_evites'!$B$7*'2_Couts_evites'!$E$7/12*G28</f>
        <v/>
      </c>
      <c r="H30" s="35">
        <f>'2_Couts_evites'!$B$7*'2_Couts_evites'!$E$7/12*H28</f>
        <v/>
      </c>
      <c r="I30" s="35">
        <f>'2_Couts_evites'!$B$7*'2_Couts_evites'!$E$7/12*I28</f>
        <v/>
      </c>
      <c r="J30" s="35">
        <f>'2_Couts_evites'!$B$7*'2_Couts_evites'!$E$7/12*J28</f>
        <v/>
      </c>
      <c r="K30" s="35">
        <f>'2_Couts_evites'!$B$7*'2_Couts_evites'!$E$7/12*K28</f>
        <v/>
      </c>
      <c r="L30" s="35">
        <f>'2_Couts_evites'!$B$7*'2_Couts_evites'!$E$7/12*L28</f>
        <v/>
      </c>
      <c r="M30" s="35">
        <f>'2_Couts_evites'!$B$7*'2_Couts_evites'!$E$7/12*M28</f>
        <v/>
      </c>
      <c r="N30" s="35">
        <f>'2_Couts_evites'!$B$7*'2_Couts_evites'!$E$7/12*N28</f>
        <v/>
      </c>
      <c r="O30" s="35">
        <f>'2_Couts_evites'!$B$7*'2_Couts_evites'!$E$7/12*O28</f>
        <v/>
      </c>
      <c r="P30" s="35">
        <f>'2_Couts_evites'!$B$7*'2_Couts_evites'!$E$7/12*P28</f>
        <v/>
      </c>
      <c r="Q30" s="35">
        <f>'2_Couts_evites'!$B$7*'2_Couts_evites'!$E$7/12*Q28</f>
        <v/>
      </c>
      <c r="R30" s="35">
        <f>'2_Couts_evites'!$B$7*'2_Couts_evites'!$E$7/12*R28</f>
        <v/>
      </c>
      <c r="S30" s="35">
        <f>'2_Couts_evites'!$B$7*'2_Couts_evites'!$E$7/12*S28</f>
        <v/>
      </c>
      <c r="T30" s="35">
        <f>'2_Couts_evites'!$B$7*'2_Couts_evites'!$E$7/12*T28</f>
        <v/>
      </c>
      <c r="U30" s="35">
        <f>'2_Couts_evites'!$B$7*'2_Couts_evites'!$E$7/12*U28</f>
        <v/>
      </c>
      <c r="V30" s="35">
        <f>'2_Couts_evites'!$B$7*'2_Couts_evites'!$E$7/12*V28</f>
        <v/>
      </c>
      <c r="W30" s="35">
        <f>'2_Couts_evites'!$B$7*'2_Couts_evites'!$E$7/12*W28</f>
        <v/>
      </c>
      <c r="X30" s="35">
        <f>'2_Couts_evites'!$B$7*'2_Couts_evites'!$E$7/12*X28</f>
        <v/>
      </c>
      <c r="Y30" s="35">
        <f>'2_Couts_evites'!$B$7*'2_Couts_evites'!$E$7/12*Y28</f>
        <v/>
      </c>
      <c r="Z30" s="35">
        <f>'2_Couts_evites'!$B$7*'2_Couts_evites'!$E$7/12*Z28</f>
        <v/>
      </c>
    </row>
    <row r="31">
      <c r="A31" s="41" t="inlineStr">
        <is>
          <t xml:space="preserve">  Exploitation interne (0,25 ETP)</t>
        </is>
      </c>
      <c r="B31" s="22">
        <f>SUM(C31:Z31)</f>
        <v/>
      </c>
      <c r="C31" s="35">
        <f>'2_Couts_evites'!$B$8*'2_Couts_evites'!$E$8/12*C28</f>
        <v/>
      </c>
      <c r="D31" s="35">
        <f>'2_Couts_evites'!$B$8*'2_Couts_evites'!$E$8/12*D28</f>
        <v/>
      </c>
      <c r="E31" s="35">
        <f>'2_Couts_evites'!$B$8*'2_Couts_evites'!$E$8/12*E28</f>
        <v/>
      </c>
      <c r="F31" s="35">
        <f>'2_Couts_evites'!$B$8*'2_Couts_evites'!$E$8/12*F28</f>
        <v/>
      </c>
      <c r="G31" s="35">
        <f>'2_Couts_evites'!$B$8*'2_Couts_evites'!$E$8/12*G28</f>
        <v/>
      </c>
      <c r="H31" s="35">
        <f>'2_Couts_evites'!$B$8*'2_Couts_evites'!$E$8/12*H28</f>
        <v/>
      </c>
      <c r="I31" s="35">
        <f>'2_Couts_evites'!$B$8*'2_Couts_evites'!$E$8/12*I28</f>
        <v/>
      </c>
      <c r="J31" s="35">
        <f>'2_Couts_evites'!$B$8*'2_Couts_evites'!$E$8/12*J28</f>
        <v/>
      </c>
      <c r="K31" s="35">
        <f>'2_Couts_evites'!$B$8*'2_Couts_evites'!$E$8/12*K28</f>
        <v/>
      </c>
      <c r="L31" s="35">
        <f>'2_Couts_evites'!$B$8*'2_Couts_evites'!$E$8/12*L28</f>
        <v/>
      </c>
      <c r="M31" s="35">
        <f>'2_Couts_evites'!$B$8*'2_Couts_evites'!$E$8/12*M28</f>
        <v/>
      </c>
      <c r="N31" s="35">
        <f>'2_Couts_evites'!$B$8*'2_Couts_evites'!$E$8/12*N28</f>
        <v/>
      </c>
      <c r="O31" s="35">
        <f>'2_Couts_evites'!$B$8*'2_Couts_evites'!$E$8/12*O28</f>
        <v/>
      </c>
      <c r="P31" s="35">
        <f>'2_Couts_evites'!$B$8*'2_Couts_evites'!$E$8/12*P28</f>
        <v/>
      </c>
      <c r="Q31" s="35">
        <f>'2_Couts_evites'!$B$8*'2_Couts_evites'!$E$8/12*Q28</f>
        <v/>
      </c>
      <c r="R31" s="35">
        <f>'2_Couts_evites'!$B$8*'2_Couts_evites'!$E$8/12*R28</f>
        <v/>
      </c>
      <c r="S31" s="35">
        <f>'2_Couts_evites'!$B$8*'2_Couts_evites'!$E$8/12*S28</f>
        <v/>
      </c>
      <c r="T31" s="35">
        <f>'2_Couts_evites'!$B$8*'2_Couts_evites'!$E$8/12*T28</f>
        <v/>
      </c>
      <c r="U31" s="35">
        <f>'2_Couts_evites'!$B$8*'2_Couts_evites'!$E$8/12*U28</f>
        <v/>
      </c>
      <c r="V31" s="35">
        <f>'2_Couts_evites'!$B$8*'2_Couts_evites'!$E$8/12*V28</f>
        <v/>
      </c>
      <c r="W31" s="35">
        <f>'2_Couts_evites'!$B$8*'2_Couts_evites'!$E$8/12*W28</f>
        <v/>
      </c>
      <c r="X31" s="35">
        <f>'2_Couts_evites'!$B$8*'2_Couts_evites'!$E$8/12*X28</f>
        <v/>
      </c>
      <c r="Y31" s="35">
        <f>'2_Couts_evites'!$B$8*'2_Couts_evites'!$E$8/12*Y28</f>
        <v/>
      </c>
      <c r="Z31" s="35">
        <f>'2_Couts_evites'!$B$8*'2_Couts_evites'!$E$8/12*Z28</f>
        <v/>
      </c>
    </row>
    <row r="32">
      <c r="A32" s="41" t="inlineStr">
        <is>
          <t xml:space="preserve">  Support N1/N2 : abus, réclamations, signalements</t>
        </is>
      </c>
      <c r="B32" s="22">
        <f>SUM(C32:Z32)</f>
        <v/>
      </c>
      <c r="C32" s="35">
        <f>'2_Couts_evites'!$B$9*'2_Couts_evites'!$E$9/12*C28</f>
        <v/>
      </c>
      <c r="D32" s="35">
        <f>'2_Couts_evites'!$B$9*'2_Couts_evites'!$E$9/12*D28</f>
        <v/>
      </c>
      <c r="E32" s="35">
        <f>'2_Couts_evites'!$B$9*'2_Couts_evites'!$E$9/12*E28</f>
        <v/>
      </c>
      <c r="F32" s="35">
        <f>'2_Couts_evites'!$B$9*'2_Couts_evites'!$E$9/12*F28</f>
        <v/>
      </c>
      <c r="G32" s="35">
        <f>'2_Couts_evites'!$B$9*'2_Couts_evites'!$E$9/12*G28</f>
        <v/>
      </c>
      <c r="H32" s="35">
        <f>'2_Couts_evites'!$B$9*'2_Couts_evites'!$E$9/12*H28</f>
        <v/>
      </c>
      <c r="I32" s="35">
        <f>'2_Couts_evites'!$B$9*'2_Couts_evites'!$E$9/12*I28</f>
        <v/>
      </c>
      <c r="J32" s="35">
        <f>'2_Couts_evites'!$B$9*'2_Couts_evites'!$E$9/12*J28</f>
        <v/>
      </c>
      <c r="K32" s="35">
        <f>'2_Couts_evites'!$B$9*'2_Couts_evites'!$E$9/12*K28</f>
        <v/>
      </c>
      <c r="L32" s="35">
        <f>'2_Couts_evites'!$B$9*'2_Couts_evites'!$E$9/12*L28</f>
        <v/>
      </c>
      <c r="M32" s="35">
        <f>'2_Couts_evites'!$B$9*'2_Couts_evites'!$E$9/12*M28</f>
        <v/>
      </c>
      <c r="N32" s="35">
        <f>'2_Couts_evites'!$B$9*'2_Couts_evites'!$E$9/12*N28</f>
        <v/>
      </c>
      <c r="O32" s="35">
        <f>'2_Couts_evites'!$B$9*'2_Couts_evites'!$E$9/12*O28</f>
        <v/>
      </c>
      <c r="P32" s="35">
        <f>'2_Couts_evites'!$B$9*'2_Couts_evites'!$E$9/12*P28</f>
        <v/>
      </c>
      <c r="Q32" s="35">
        <f>'2_Couts_evites'!$B$9*'2_Couts_evites'!$E$9/12*Q28</f>
        <v/>
      </c>
      <c r="R32" s="35">
        <f>'2_Couts_evites'!$B$9*'2_Couts_evites'!$E$9/12*R28</f>
        <v/>
      </c>
      <c r="S32" s="35">
        <f>'2_Couts_evites'!$B$9*'2_Couts_evites'!$E$9/12*S28</f>
        <v/>
      </c>
      <c r="T32" s="35">
        <f>'2_Couts_evites'!$B$9*'2_Couts_evites'!$E$9/12*T28</f>
        <v/>
      </c>
      <c r="U32" s="35">
        <f>'2_Couts_evites'!$B$9*'2_Couts_evites'!$E$9/12*U28</f>
        <v/>
      </c>
      <c r="V32" s="35">
        <f>'2_Couts_evites'!$B$9*'2_Couts_evites'!$E$9/12*V28</f>
        <v/>
      </c>
      <c r="W32" s="35">
        <f>'2_Couts_evites'!$B$9*'2_Couts_evites'!$E$9/12*W28</f>
        <v/>
      </c>
      <c r="X32" s="35">
        <f>'2_Couts_evites'!$B$9*'2_Couts_evites'!$E$9/12*X28</f>
        <v/>
      </c>
      <c r="Y32" s="35">
        <f>'2_Couts_evites'!$B$9*'2_Couts_evites'!$E$9/12*Y28</f>
        <v/>
      </c>
      <c r="Z32" s="35">
        <f>'2_Couts_evites'!$B$9*'2_Couts_evites'!$E$9/12*Z28</f>
        <v/>
      </c>
    </row>
    <row r="33">
      <c r="A33" s="41" t="inlineStr">
        <is>
          <t xml:space="preserve">  Licences et composants propriétaires</t>
        </is>
      </c>
      <c r="B33" s="22">
        <f>SUM(C33:Z33)</f>
        <v/>
      </c>
      <c r="C33" s="35">
        <f>'2_Couts_evites'!$B$10*'2_Couts_evites'!$E$10/12*C28</f>
        <v/>
      </c>
      <c r="D33" s="35">
        <f>'2_Couts_evites'!$B$10*'2_Couts_evites'!$E$10/12*D28</f>
        <v/>
      </c>
      <c r="E33" s="35">
        <f>'2_Couts_evites'!$B$10*'2_Couts_evites'!$E$10/12*E28</f>
        <v/>
      </c>
      <c r="F33" s="35">
        <f>'2_Couts_evites'!$B$10*'2_Couts_evites'!$E$10/12*F28</f>
        <v/>
      </c>
      <c r="G33" s="35">
        <f>'2_Couts_evites'!$B$10*'2_Couts_evites'!$E$10/12*G28</f>
        <v/>
      </c>
      <c r="H33" s="35">
        <f>'2_Couts_evites'!$B$10*'2_Couts_evites'!$E$10/12*H28</f>
        <v/>
      </c>
      <c r="I33" s="35">
        <f>'2_Couts_evites'!$B$10*'2_Couts_evites'!$E$10/12*I28</f>
        <v/>
      </c>
      <c r="J33" s="35">
        <f>'2_Couts_evites'!$B$10*'2_Couts_evites'!$E$10/12*J28</f>
        <v/>
      </c>
      <c r="K33" s="35">
        <f>'2_Couts_evites'!$B$10*'2_Couts_evites'!$E$10/12*K28</f>
        <v/>
      </c>
      <c r="L33" s="35">
        <f>'2_Couts_evites'!$B$10*'2_Couts_evites'!$E$10/12*L28</f>
        <v/>
      </c>
      <c r="M33" s="35">
        <f>'2_Couts_evites'!$B$10*'2_Couts_evites'!$E$10/12*M28</f>
        <v/>
      </c>
      <c r="N33" s="35">
        <f>'2_Couts_evites'!$B$10*'2_Couts_evites'!$E$10/12*N28</f>
        <v/>
      </c>
      <c r="O33" s="35">
        <f>'2_Couts_evites'!$B$10*'2_Couts_evites'!$E$10/12*O28</f>
        <v/>
      </c>
      <c r="P33" s="35">
        <f>'2_Couts_evites'!$B$10*'2_Couts_evites'!$E$10/12*P28</f>
        <v/>
      </c>
      <c r="Q33" s="35">
        <f>'2_Couts_evites'!$B$10*'2_Couts_evites'!$E$10/12*Q28</f>
        <v/>
      </c>
      <c r="R33" s="35">
        <f>'2_Couts_evites'!$B$10*'2_Couts_evites'!$E$10/12*R28</f>
        <v/>
      </c>
      <c r="S33" s="35">
        <f>'2_Couts_evites'!$B$10*'2_Couts_evites'!$E$10/12*S28</f>
        <v/>
      </c>
      <c r="T33" s="35">
        <f>'2_Couts_evites'!$B$10*'2_Couts_evites'!$E$10/12*T28</f>
        <v/>
      </c>
      <c r="U33" s="35">
        <f>'2_Couts_evites'!$B$10*'2_Couts_evites'!$E$10/12*U28</f>
        <v/>
      </c>
      <c r="V33" s="35">
        <f>'2_Couts_evites'!$B$10*'2_Couts_evites'!$E$10/12*V28</f>
        <v/>
      </c>
      <c r="W33" s="35">
        <f>'2_Couts_evites'!$B$10*'2_Couts_evites'!$E$10/12*W28</f>
        <v/>
      </c>
      <c r="X33" s="35">
        <f>'2_Couts_evites'!$B$10*'2_Couts_evites'!$E$10/12*X28</f>
        <v/>
      </c>
      <c r="Y33" s="35">
        <f>'2_Couts_evites'!$B$10*'2_Couts_evites'!$E$10/12*Y28</f>
        <v/>
      </c>
      <c r="Z33" s="35">
        <f>'2_Couts_evites'!$B$10*'2_Couts_evites'!$E$10/12*Z28</f>
        <v/>
      </c>
    </row>
    <row r="34">
      <c r="A34" s="41" t="inlineStr">
        <is>
          <t xml:space="preserve">  Acheminement des SMS du service historique</t>
        </is>
      </c>
      <c r="B34" s="22">
        <f>SUM(C34:Z34)</f>
        <v/>
      </c>
      <c r="C34" s="35">
        <f>'2_Couts_evites'!$B$11*'2_Couts_evites'!$E$11/12*C28</f>
        <v/>
      </c>
      <c r="D34" s="35">
        <f>'2_Couts_evites'!$B$11*'2_Couts_evites'!$E$11/12*D28</f>
        <v/>
      </c>
      <c r="E34" s="35">
        <f>'2_Couts_evites'!$B$11*'2_Couts_evites'!$E$11/12*E28</f>
        <v/>
      </c>
      <c r="F34" s="35">
        <f>'2_Couts_evites'!$B$11*'2_Couts_evites'!$E$11/12*F28</f>
        <v/>
      </c>
      <c r="G34" s="35">
        <f>'2_Couts_evites'!$B$11*'2_Couts_evites'!$E$11/12*G28</f>
        <v/>
      </c>
      <c r="H34" s="35">
        <f>'2_Couts_evites'!$B$11*'2_Couts_evites'!$E$11/12*H28</f>
        <v/>
      </c>
      <c r="I34" s="35">
        <f>'2_Couts_evites'!$B$11*'2_Couts_evites'!$E$11/12*I28</f>
        <v/>
      </c>
      <c r="J34" s="35">
        <f>'2_Couts_evites'!$B$11*'2_Couts_evites'!$E$11/12*J28</f>
        <v/>
      </c>
      <c r="K34" s="35">
        <f>'2_Couts_evites'!$B$11*'2_Couts_evites'!$E$11/12*K28</f>
        <v/>
      </c>
      <c r="L34" s="35">
        <f>'2_Couts_evites'!$B$11*'2_Couts_evites'!$E$11/12*L28</f>
        <v/>
      </c>
      <c r="M34" s="35">
        <f>'2_Couts_evites'!$B$11*'2_Couts_evites'!$E$11/12*M28</f>
        <v/>
      </c>
      <c r="N34" s="35">
        <f>'2_Couts_evites'!$B$11*'2_Couts_evites'!$E$11/12*N28</f>
        <v/>
      </c>
      <c r="O34" s="35">
        <f>'2_Couts_evites'!$B$11*'2_Couts_evites'!$E$11/12*O28</f>
        <v/>
      </c>
      <c r="P34" s="35">
        <f>'2_Couts_evites'!$B$11*'2_Couts_evites'!$E$11/12*P28</f>
        <v/>
      </c>
      <c r="Q34" s="35">
        <f>'2_Couts_evites'!$B$11*'2_Couts_evites'!$E$11/12*Q28</f>
        <v/>
      </c>
      <c r="R34" s="35">
        <f>'2_Couts_evites'!$B$11*'2_Couts_evites'!$E$11/12*R28</f>
        <v/>
      </c>
      <c r="S34" s="35">
        <f>'2_Couts_evites'!$B$11*'2_Couts_evites'!$E$11/12*S28</f>
        <v/>
      </c>
      <c r="T34" s="35">
        <f>'2_Couts_evites'!$B$11*'2_Couts_evites'!$E$11/12*T28</f>
        <v/>
      </c>
      <c r="U34" s="35">
        <f>'2_Couts_evites'!$B$11*'2_Couts_evites'!$E$11/12*U28</f>
        <v/>
      </c>
      <c r="V34" s="35">
        <f>'2_Couts_evites'!$B$11*'2_Couts_evites'!$E$11/12*V28</f>
        <v/>
      </c>
      <c r="W34" s="35">
        <f>'2_Couts_evites'!$B$11*'2_Couts_evites'!$E$11/12*W28</f>
        <v/>
      </c>
      <c r="X34" s="35">
        <f>'2_Couts_evites'!$B$11*'2_Couts_evites'!$E$11/12*X28</f>
        <v/>
      </c>
      <c r="Y34" s="35">
        <f>'2_Couts_evites'!$B$11*'2_Couts_evites'!$E$11/12*Y28</f>
        <v/>
      </c>
      <c r="Z34" s="35">
        <f>'2_Couts_evites'!$B$11*'2_Couts_evites'!$E$11/12*Z28</f>
        <v/>
      </c>
    </row>
    <row r="35">
      <c r="A35" s="45" t="inlineStr">
        <is>
          <t>TOTAL COUTS EVITES</t>
        </is>
      </c>
      <c r="B35" s="26">
        <f>SUM(C35:Z35)</f>
        <v/>
      </c>
      <c r="C35" s="26">
        <f>SUM(C29:C34)</f>
        <v/>
      </c>
      <c r="D35" s="26">
        <f>SUM(D29:D34)</f>
        <v/>
      </c>
      <c r="E35" s="26">
        <f>SUM(E29:E34)</f>
        <v/>
      </c>
      <c r="F35" s="26">
        <f>SUM(F29:F34)</f>
        <v/>
      </c>
      <c r="G35" s="26">
        <f>SUM(G29:G34)</f>
        <v/>
      </c>
      <c r="H35" s="26">
        <f>SUM(H29:H34)</f>
        <v/>
      </c>
      <c r="I35" s="26">
        <f>SUM(I29:I34)</f>
        <v/>
      </c>
      <c r="J35" s="26">
        <f>SUM(J29:J34)</f>
        <v/>
      </c>
      <c r="K35" s="26">
        <f>SUM(K29:K34)</f>
        <v/>
      </c>
      <c r="L35" s="26">
        <f>SUM(L29:L34)</f>
        <v/>
      </c>
      <c r="M35" s="26">
        <f>SUM(M29:M34)</f>
        <v/>
      </c>
      <c r="N35" s="26">
        <f>SUM(N29:N34)</f>
        <v/>
      </c>
      <c r="O35" s="26">
        <f>SUM(O29:O34)</f>
        <v/>
      </c>
      <c r="P35" s="26">
        <f>SUM(P29:P34)</f>
        <v/>
      </c>
      <c r="Q35" s="26">
        <f>SUM(Q29:Q34)</f>
        <v/>
      </c>
      <c r="R35" s="26">
        <f>SUM(R29:R34)</f>
        <v/>
      </c>
      <c r="S35" s="26">
        <f>SUM(S29:S34)</f>
        <v/>
      </c>
      <c r="T35" s="26">
        <f>SUM(T29:T34)</f>
        <v/>
      </c>
      <c r="U35" s="26">
        <f>SUM(U29:U34)</f>
        <v/>
      </c>
      <c r="V35" s="26">
        <f>SUM(V29:V34)</f>
        <v/>
      </c>
      <c r="W35" s="26">
        <f>SUM(W29:W34)</f>
        <v/>
      </c>
      <c r="X35" s="26">
        <f>SUM(X29:X34)</f>
        <v/>
      </c>
      <c r="Y35" s="26">
        <f>SUM(Y29:Y34)</f>
        <v/>
      </c>
      <c r="Z35" s="26">
        <f>SUM(Z29:Z34)</f>
        <v/>
      </c>
    </row>
    <row r="36">
      <c r="A36" s="4" t="inlineStr">
        <is>
          <t>COUTS FIXES DU SERVICE NOUVELLE GENERATION</t>
        </is>
      </c>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41" t="inlineStr">
        <is>
          <t>Run technique et produit (à compter de la bascule)</t>
        </is>
      </c>
      <c r="B37" s="22">
        <f>SUM(C37:Z37)</f>
        <v/>
      </c>
      <c r="C37" s="35">
        <f>IF(1&gt;='1_Hypotheses'!$E$48,-'1_Hypotheses'!$E$36*'1_Hypotheses'!$E$37/12,0)</f>
        <v/>
      </c>
      <c r="D37" s="35">
        <f>IF(2&gt;='1_Hypotheses'!$E$48,-'1_Hypotheses'!$E$36*'1_Hypotheses'!$E$37/12,0)</f>
        <v/>
      </c>
      <c r="E37" s="35">
        <f>IF(3&gt;='1_Hypotheses'!$E$48,-'1_Hypotheses'!$E$36*'1_Hypotheses'!$E$37/12,0)</f>
        <v/>
      </c>
      <c r="F37" s="35">
        <f>IF(4&gt;='1_Hypotheses'!$E$48,-'1_Hypotheses'!$E$36*'1_Hypotheses'!$E$37/12,0)</f>
        <v/>
      </c>
      <c r="G37" s="35">
        <f>IF(5&gt;='1_Hypotheses'!$E$48,-'1_Hypotheses'!$E$36*'1_Hypotheses'!$E$37/12,0)</f>
        <v/>
      </c>
      <c r="H37" s="35">
        <f>IF(6&gt;='1_Hypotheses'!$E$48,-'1_Hypotheses'!$E$36*'1_Hypotheses'!$E$37/12,0)</f>
        <v/>
      </c>
      <c r="I37" s="35">
        <f>IF(7&gt;='1_Hypotheses'!$E$48,-'1_Hypotheses'!$E$36*'1_Hypotheses'!$E$37/12,0)</f>
        <v/>
      </c>
      <c r="J37" s="35">
        <f>IF(8&gt;='1_Hypotheses'!$E$48,-'1_Hypotheses'!$E$36*'1_Hypotheses'!$E$37/12,0)</f>
        <v/>
      </c>
      <c r="K37" s="35">
        <f>IF(9&gt;='1_Hypotheses'!$E$48,-'1_Hypotheses'!$E$36*'1_Hypotheses'!$E$37/12,0)</f>
        <v/>
      </c>
      <c r="L37" s="35">
        <f>IF(10&gt;='1_Hypotheses'!$E$48,-'1_Hypotheses'!$E$36*'1_Hypotheses'!$E$37/12,0)</f>
        <v/>
      </c>
      <c r="M37" s="35">
        <f>IF(11&gt;='1_Hypotheses'!$E$48,-'1_Hypotheses'!$E$36*'1_Hypotheses'!$E$37/12,0)</f>
        <v/>
      </c>
      <c r="N37" s="35">
        <f>IF(12&gt;='1_Hypotheses'!$E$48,-'1_Hypotheses'!$E$36*'1_Hypotheses'!$E$37/12,0)</f>
        <v/>
      </c>
      <c r="O37" s="35">
        <f>IF(13&gt;='1_Hypotheses'!$E$48,-'1_Hypotheses'!$E$36*'1_Hypotheses'!$E$37/12,0)</f>
        <v/>
      </c>
      <c r="P37" s="35">
        <f>IF(14&gt;='1_Hypotheses'!$E$48,-'1_Hypotheses'!$E$36*'1_Hypotheses'!$E$37/12,0)</f>
        <v/>
      </c>
      <c r="Q37" s="35">
        <f>IF(15&gt;='1_Hypotheses'!$E$48,-'1_Hypotheses'!$E$36*'1_Hypotheses'!$E$37/12,0)</f>
        <v/>
      </c>
      <c r="R37" s="35">
        <f>IF(16&gt;='1_Hypotheses'!$E$48,-'1_Hypotheses'!$E$36*'1_Hypotheses'!$E$37/12,0)</f>
        <v/>
      </c>
      <c r="S37" s="35">
        <f>IF(17&gt;='1_Hypotheses'!$E$48,-'1_Hypotheses'!$E$36*'1_Hypotheses'!$E$37/12,0)</f>
        <v/>
      </c>
      <c r="T37" s="35">
        <f>IF(18&gt;='1_Hypotheses'!$E$48,-'1_Hypotheses'!$E$36*'1_Hypotheses'!$E$37/12,0)</f>
        <v/>
      </c>
      <c r="U37" s="35">
        <f>IF(19&gt;='1_Hypotheses'!$E$48,-'1_Hypotheses'!$E$36*'1_Hypotheses'!$E$37/12,0)</f>
        <v/>
      </c>
      <c r="V37" s="35">
        <f>IF(20&gt;='1_Hypotheses'!$E$48,-'1_Hypotheses'!$E$36*'1_Hypotheses'!$E$37/12,0)</f>
        <v/>
      </c>
      <c r="W37" s="35">
        <f>IF(21&gt;='1_Hypotheses'!$E$48,-'1_Hypotheses'!$E$36*'1_Hypotheses'!$E$37/12,0)</f>
        <v/>
      </c>
      <c r="X37" s="35">
        <f>IF(22&gt;='1_Hypotheses'!$E$48,-'1_Hypotheses'!$E$36*'1_Hypotheses'!$E$37/12,0)</f>
        <v/>
      </c>
      <c r="Y37" s="35">
        <f>IF(23&gt;='1_Hypotheses'!$E$48,-'1_Hypotheses'!$E$36*'1_Hypotheses'!$E$37/12,0)</f>
        <v/>
      </c>
      <c r="Z37" s="35">
        <f>IF(24&gt;='1_Hypotheses'!$E$48,-'1_Hypotheses'!$E$36*'1_Hypotheses'!$E$37/12,0)</f>
        <v/>
      </c>
    </row>
    <row r="38">
      <c r="A38" s="41" t="inlineStr">
        <is>
          <t>Hébergement (production après bascule, environnements avant)</t>
        </is>
      </c>
      <c r="B38" s="22">
        <f>SUM(C38:Z38)</f>
        <v/>
      </c>
      <c r="C38" s="35">
        <f>IF(1&gt;='1_Hypotheses'!$E$48,-'1_Hypotheses'!$E$38,-'1_Hypotheses'!$E$41)</f>
        <v/>
      </c>
      <c r="D38" s="35">
        <f>IF(2&gt;='1_Hypotheses'!$E$48,-'1_Hypotheses'!$E$38,-'1_Hypotheses'!$E$41)</f>
        <v/>
      </c>
      <c r="E38" s="35">
        <f>IF(3&gt;='1_Hypotheses'!$E$48,-'1_Hypotheses'!$E$38,-'1_Hypotheses'!$E$41)</f>
        <v/>
      </c>
      <c r="F38" s="35">
        <f>IF(4&gt;='1_Hypotheses'!$E$48,-'1_Hypotheses'!$E$38,-'1_Hypotheses'!$E$41)</f>
        <v/>
      </c>
      <c r="G38" s="35">
        <f>IF(5&gt;='1_Hypotheses'!$E$48,-'1_Hypotheses'!$E$38,-'1_Hypotheses'!$E$41)</f>
        <v/>
      </c>
      <c r="H38" s="35">
        <f>IF(6&gt;='1_Hypotheses'!$E$48,-'1_Hypotheses'!$E$38,-'1_Hypotheses'!$E$41)</f>
        <v/>
      </c>
      <c r="I38" s="35">
        <f>IF(7&gt;='1_Hypotheses'!$E$48,-'1_Hypotheses'!$E$38,-'1_Hypotheses'!$E$41)</f>
        <v/>
      </c>
      <c r="J38" s="35">
        <f>IF(8&gt;='1_Hypotheses'!$E$48,-'1_Hypotheses'!$E$38,-'1_Hypotheses'!$E$41)</f>
        <v/>
      </c>
      <c r="K38" s="35">
        <f>IF(9&gt;='1_Hypotheses'!$E$48,-'1_Hypotheses'!$E$38,-'1_Hypotheses'!$E$41)</f>
        <v/>
      </c>
      <c r="L38" s="35">
        <f>IF(10&gt;='1_Hypotheses'!$E$48,-'1_Hypotheses'!$E$38,-'1_Hypotheses'!$E$41)</f>
        <v/>
      </c>
      <c r="M38" s="35">
        <f>IF(11&gt;='1_Hypotheses'!$E$48,-'1_Hypotheses'!$E$38,-'1_Hypotheses'!$E$41)</f>
        <v/>
      </c>
      <c r="N38" s="35">
        <f>IF(12&gt;='1_Hypotheses'!$E$48,-'1_Hypotheses'!$E$38,-'1_Hypotheses'!$E$41)</f>
        <v/>
      </c>
      <c r="O38" s="35">
        <f>IF(13&gt;='1_Hypotheses'!$E$48,-'1_Hypotheses'!$E$38,-'1_Hypotheses'!$E$41)</f>
        <v/>
      </c>
      <c r="P38" s="35">
        <f>IF(14&gt;='1_Hypotheses'!$E$48,-'1_Hypotheses'!$E$38,-'1_Hypotheses'!$E$41)</f>
        <v/>
      </c>
      <c r="Q38" s="35">
        <f>IF(15&gt;='1_Hypotheses'!$E$48,-'1_Hypotheses'!$E$38,-'1_Hypotheses'!$E$41)</f>
        <v/>
      </c>
      <c r="R38" s="35">
        <f>IF(16&gt;='1_Hypotheses'!$E$48,-'1_Hypotheses'!$E$38,-'1_Hypotheses'!$E$41)</f>
        <v/>
      </c>
      <c r="S38" s="35">
        <f>IF(17&gt;='1_Hypotheses'!$E$48,-'1_Hypotheses'!$E$38,-'1_Hypotheses'!$E$41)</f>
        <v/>
      </c>
      <c r="T38" s="35">
        <f>IF(18&gt;='1_Hypotheses'!$E$48,-'1_Hypotheses'!$E$38,-'1_Hypotheses'!$E$41)</f>
        <v/>
      </c>
      <c r="U38" s="35">
        <f>IF(19&gt;='1_Hypotheses'!$E$48,-'1_Hypotheses'!$E$38,-'1_Hypotheses'!$E$41)</f>
        <v/>
      </c>
      <c r="V38" s="35">
        <f>IF(20&gt;='1_Hypotheses'!$E$48,-'1_Hypotheses'!$E$38,-'1_Hypotheses'!$E$41)</f>
        <v/>
      </c>
      <c r="W38" s="35">
        <f>IF(21&gt;='1_Hypotheses'!$E$48,-'1_Hypotheses'!$E$38,-'1_Hypotheses'!$E$41)</f>
        <v/>
      </c>
      <c r="X38" s="35">
        <f>IF(22&gt;='1_Hypotheses'!$E$48,-'1_Hypotheses'!$E$38,-'1_Hypotheses'!$E$41)</f>
        <v/>
      </c>
      <c r="Y38" s="35">
        <f>IF(23&gt;='1_Hypotheses'!$E$48,-'1_Hypotheses'!$E$38,-'1_Hypotheses'!$E$41)</f>
        <v/>
      </c>
      <c r="Z38" s="35">
        <f>IF(24&gt;='1_Hypotheses'!$E$48,-'1_Hypotheses'!$E$38,-'1_Hypotheses'!$E$41)</f>
        <v/>
      </c>
    </row>
    <row r="39">
      <c r="A39" s="41" t="inlineStr">
        <is>
          <t>Support et modération</t>
        </is>
      </c>
      <c r="B39" s="22">
        <f>SUM(C39:Z39)</f>
        <v/>
      </c>
      <c r="C39" s="35">
        <f>IF(1&gt;='1_Hypotheses'!$E$48,-'1_Hypotheses'!$E$39,0)</f>
        <v/>
      </c>
      <c r="D39" s="35">
        <f>IF(2&gt;='1_Hypotheses'!$E$48,-'1_Hypotheses'!$E$39,0)</f>
        <v/>
      </c>
      <c r="E39" s="35">
        <f>IF(3&gt;='1_Hypotheses'!$E$48,-'1_Hypotheses'!$E$39,0)</f>
        <v/>
      </c>
      <c r="F39" s="35">
        <f>IF(4&gt;='1_Hypotheses'!$E$48,-'1_Hypotheses'!$E$39,0)</f>
        <v/>
      </c>
      <c r="G39" s="35">
        <f>IF(5&gt;='1_Hypotheses'!$E$48,-'1_Hypotheses'!$E$39,0)</f>
        <v/>
      </c>
      <c r="H39" s="35">
        <f>IF(6&gt;='1_Hypotheses'!$E$48,-'1_Hypotheses'!$E$39,0)</f>
        <v/>
      </c>
      <c r="I39" s="35">
        <f>IF(7&gt;='1_Hypotheses'!$E$48,-'1_Hypotheses'!$E$39,0)</f>
        <v/>
      </c>
      <c r="J39" s="35">
        <f>IF(8&gt;='1_Hypotheses'!$E$48,-'1_Hypotheses'!$E$39,0)</f>
        <v/>
      </c>
      <c r="K39" s="35">
        <f>IF(9&gt;='1_Hypotheses'!$E$48,-'1_Hypotheses'!$E$39,0)</f>
        <v/>
      </c>
      <c r="L39" s="35">
        <f>IF(10&gt;='1_Hypotheses'!$E$48,-'1_Hypotheses'!$E$39,0)</f>
        <v/>
      </c>
      <c r="M39" s="35">
        <f>IF(11&gt;='1_Hypotheses'!$E$48,-'1_Hypotheses'!$E$39,0)</f>
        <v/>
      </c>
      <c r="N39" s="35">
        <f>IF(12&gt;='1_Hypotheses'!$E$48,-'1_Hypotheses'!$E$39,0)</f>
        <v/>
      </c>
      <c r="O39" s="35">
        <f>IF(13&gt;='1_Hypotheses'!$E$48,-'1_Hypotheses'!$E$39,0)</f>
        <v/>
      </c>
      <c r="P39" s="35">
        <f>IF(14&gt;='1_Hypotheses'!$E$48,-'1_Hypotheses'!$E$39,0)</f>
        <v/>
      </c>
      <c r="Q39" s="35">
        <f>IF(15&gt;='1_Hypotheses'!$E$48,-'1_Hypotheses'!$E$39,0)</f>
        <v/>
      </c>
      <c r="R39" s="35">
        <f>IF(16&gt;='1_Hypotheses'!$E$48,-'1_Hypotheses'!$E$39,0)</f>
        <v/>
      </c>
      <c r="S39" s="35">
        <f>IF(17&gt;='1_Hypotheses'!$E$48,-'1_Hypotheses'!$E$39,0)</f>
        <v/>
      </c>
      <c r="T39" s="35">
        <f>IF(18&gt;='1_Hypotheses'!$E$48,-'1_Hypotheses'!$E$39,0)</f>
        <v/>
      </c>
      <c r="U39" s="35">
        <f>IF(19&gt;='1_Hypotheses'!$E$48,-'1_Hypotheses'!$E$39,0)</f>
        <v/>
      </c>
      <c r="V39" s="35">
        <f>IF(20&gt;='1_Hypotheses'!$E$48,-'1_Hypotheses'!$E$39,0)</f>
        <v/>
      </c>
      <c r="W39" s="35">
        <f>IF(21&gt;='1_Hypotheses'!$E$48,-'1_Hypotheses'!$E$39,0)</f>
        <v/>
      </c>
      <c r="X39" s="35">
        <f>IF(22&gt;='1_Hypotheses'!$E$48,-'1_Hypotheses'!$E$39,0)</f>
        <v/>
      </c>
      <c r="Y39" s="35">
        <f>IF(23&gt;='1_Hypotheses'!$E$48,-'1_Hypotheses'!$E$39,0)</f>
        <v/>
      </c>
      <c r="Z39" s="35">
        <f>IF(24&gt;='1_Hypotheses'!$E$48,-'1_Hypotheses'!$E$39,0)</f>
        <v/>
      </c>
    </row>
    <row r="40">
      <c r="A40" s="41" t="inlineStr">
        <is>
          <t>Communication et notoriété</t>
        </is>
      </c>
      <c r="B40" s="22">
        <f>SUM(C40:Z40)</f>
        <v/>
      </c>
      <c r="C40" s="35">
        <f>IF(1&gt;='1_Hypotheses'!$E$48,-'1_Hypotheses'!$E$40,0)</f>
        <v/>
      </c>
      <c r="D40" s="35">
        <f>IF(2&gt;='1_Hypotheses'!$E$48,-'1_Hypotheses'!$E$40,0)</f>
        <v/>
      </c>
      <c r="E40" s="35">
        <f>IF(3&gt;='1_Hypotheses'!$E$48,-'1_Hypotheses'!$E$40,0)</f>
        <v/>
      </c>
      <c r="F40" s="35">
        <f>IF(4&gt;='1_Hypotheses'!$E$48,-'1_Hypotheses'!$E$40,0)</f>
        <v/>
      </c>
      <c r="G40" s="35">
        <f>IF(5&gt;='1_Hypotheses'!$E$48,-'1_Hypotheses'!$E$40,0)</f>
        <v/>
      </c>
      <c r="H40" s="35">
        <f>IF(6&gt;='1_Hypotheses'!$E$48,-'1_Hypotheses'!$E$40,0)</f>
        <v/>
      </c>
      <c r="I40" s="35">
        <f>IF(7&gt;='1_Hypotheses'!$E$48,-'1_Hypotheses'!$E$40,0)</f>
        <v/>
      </c>
      <c r="J40" s="35">
        <f>IF(8&gt;='1_Hypotheses'!$E$48,-'1_Hypotheses'!$E$40,0)</f>
        <v/>
      </c>
      <c r="K40" s="35">
        <f>IF(9&gt;='1_Hypotheses'!$E$48,-'1_Hypotheses'!$E$40,0)</f>
        <v/>
      </c>
      <c r="L40" s="35">
        <f>IF(10&gt;='1_Hypotheses'!$E$48,-'1_Hypotheses'!$E$40,0)</f>
        <v/>
      </c>
      <c r="M40" s="35">
        <f>IF(11&gt;='1_Hypotheses'!$E$48,-'1_Hypotheses'!$E$40,0)</f>
        <v/>
      </c>
      <c r="N40" s="35">
        <f>IF(12&gt;='1_Hypotheses'!$E$48,-'1_Hypotheses'!$E$40,0)</f>
        <v/>
      </c>
      <c r="O40" s="35">
        <f>IF(13&gt;='1_Hypotheses'!$E$48,-'1_Hypotheses'!$E$40,0)</f>
        <v/>
      </c>
      <c r="P40" s="35">
        <f>IF(14&gt;='1_Hypotheses'!$E$48,-'1_Hypotheses'!$E$40,0)</f>
        <v/>
      </c>
      <c r="Q40" s="35">
        <f>IF(15&gt;='1_Hypotheses'!$E$48,-'1_Hypotheses'!$E$40,0)</f>
        <v/>
      </c>
      <c r="R40" s="35">
        <f>IF(16&gt;='1_Hypotheses'!$E$48,-'1_Hypotheses'!$E$40,0)</f>
        <v/>
      </c>
      <c r="S40" s="35">
        <f>IF(17&gt;='1_Hypotheses'!$E$48,-'1_Hypotheses'!$E$40,0)</f>
        <v/>
      </c>
      <c r="T40" s="35">
        <f>IF(18&gt;='1_Hypotheses'!$E$48,-'1_Hypotheses'!$E$40,0)</f>
        <v/>
      </c>
      <c r="U40" s="35">
        <f>IF(19&gt;='1_Hypotheses'!$E$48,-'1_Hypotheses'!$E$40,0)</f>
        <v/>
      </c>
      <c r="V40" s="35">
        <f>IF(20&gt;='1_Hypotheses'!$E$48,-'1_Hypotheses'!$E$40,0)</f>
        <v/>
      </c>
      <c r="W40" s="35">
        <f>IF(21&gt;='1_Hypotheses'!$E$48,-'1_Hypotheses'!$E$40,0)</f>
        <v/>
      </c>
      <c r="X40" s="35">
        <f>IF(22&gt;='1_Hypotheses'!$E$48,-'1_Hypotheses'!$E$40,0)</f>
        <v/>
      </c>
      <c r="Y40" s="35">
        <f>IF(23&gt;='1_Hypotheses'!$E$48,-'1_Hypotheses'!$E$40,0)</f>
        <v/>
      </c>
      <c r="Z40" s="35">
        <f>IF(24&gt;='1_Hypotheses'!$E$48,-'1_Hypotheses'!$E$40,0)</f>
        <v/>
      </c>
    </row>
    <row r="41">
      <c r="A41" s="45" t="inlineStr">
        <is>
          <t>TOTAL COUTS FIXES</t>
        </is>
      </c>
      <c r="B41" s="22">
        <f>SUM(C41:Z41)</f>
        <v/>
      </c>
      <c r="C41" s="22">
        <f>SUM(C37:C40)</f>
        <v/>
      </c>
      <c r="D41" s="22">
        <f>SUM(D37:D40)</f>
        <v/>
      </c>
      <c r="E41" s="22">
        <f>SUM(E37:E40)</f>
        <v/>
      </c>
      <c r="F41" s="22">
        <f>SUM(F37:F40)</f>
        <v/>
      </c>
      <c r="G41" s="22">
        <f>SUM(G37:G40)</f>
        <v/>
      </c>
      <c r="H41" s="22">
        <f>SUM(H37:H40)</f>
        <v/>
      </c>
      <c r="I41" s="22">
        <f>SUM(I37:I40)</f>
        <v/>
      </c>
      <c r="J41" s="22">
        <f>SUM(J37:J40)</f>
        <v/>
      </c>
      <c r="K41" s="22">
        <f>SUM(K37:K40)</f>
        <v/>
      </c>
      <c r="L41" s="22">
        <f>SUM(L37:L40)</f>
        <v/>
      </c>
      <c r="M41" s="22">
        <f>SUM(M37:M40)</f>
        <v/>
      </c>
      <c r="N41" s="22">
        <f>SUM(N37:N40)</f>
        <v/>
      </c>
      <c r="O41" s="22">
        <f>SUM(O37:O40)</f>
        <v/>
      </c>
      <c r="P41" s="22">
        <f>SUM(P37:P40)</f>
        <v/>
      </c>
      <c r="Q41" s="22">
        <f>SUM(Q37:Q40)</f>
        <v/>
      </c>
      <c r="R41" s="22">
        <f>SUM(R37:R40)</f>
        <v/>
      </c>
      <c r="S41" s="22">
        <f>SUM(S37:S40)</f>
        <v/>
      </c>
      <c r="T41" s="22">
        <f>SUM(T37:T40)</f>
        <v/>
      </c>
      <c r="U41" s="22">
        <f>SUM(U37:U40)</f>
        <v/>
      </c>
      <c r="V41" s="22">
        <f>SUM(V37:V40)</f>
        <v/>
      </c>
      <c r="W41" s="22">
        <f>SUM(W37:W40)</f>
        <v/>
      </c>
      <c r="X41" s="22">
        <f>SUM(X37:X40)</f>
        <v/>
      </c>
      <c r="Y41" s="22">
        <f>SUM(Y37:Y40)</f>
        <v/>
      </c>
      <c r="Z41" s="22">
        <f>SUM(Z37:Z40)</f>
        <v/>
      </c>
    </row>
    <row r="42">
      <c r="A42" s="4" t="inlineStr">
        <is>
          <t>INVESTISSEMENTS</t>
        </is>
      </c>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45" t="inlineStr">
        <is>
          <t>Build, industrialisation et reprise</t>
        </is>
      </c>
      <c r="B43" s="22">
        <f>SUM(C43:Z43)</f>
        <v/>
      </c>
      <c r="C43" s="22">
        <f>IF(1&lt;='1_Hypotheses'!$E$44,-'1_Hypotheses'!$E$43/'1_Hypotheses'!$E$44,0)</f>
        <v/>
      </c>
      <c r="D43" s="22">
        <f>IF(2&lt;='1_Hypotheses'!$E$44,-'1_Hypotheses'!$E$43/'1_Hypotheses'!$E$44,0)</f>
        <v/>
      </c>
      <c r="E43" s="22">
        <f>IF(3&lt;='1_Hypotheses'!$E$44,-'1_Hypotheses'!$E$43/'1_Hypotheses'!$E$44,0)</f>
        <v/>
      </c>
      <c r="F43" s="22">
        <f>IF(4&lt;='1_Hypotheses'!$E$44,-'1_Hypotheses'!$E$43/'1_Hypotheses'!$E$44,0)</f>
        <v/>
      </c>
      <c r="G43" s="22">
        <f>IF(5&lt;='1_Hypotheses'!$E$44,-'1_Hypotheses'!$E$43/'1_Hypotheses'!$E$44,0)</f>
        <v/>
      </c>
      <c r="H43" s="22">
        <f>IF(6&lt;='1_Hypotheses'!$E$44,-'1_Hypotheses'!$E$43/'1_Hypotheses'!$E$44,0)</f>
        <v/>
      </c>
      <c r="I43" s="22">
        <f>IF(7&lt;='1_Hypotheses'!$E$44,-'1_Hypotheses'!$E$43/'1_Hypotheses'!$E$44,0)</f>
        <v/>
      </c>
      <c r="J43" s="22">
        <f>IF(8&lt;='1_Hypotheses'!$E$44,-'1_Hypotheses'!$E$43/'1_Hypotheses'!$E$44,0)</f>
        <v/>
      </c>
      <c r="K43" s="22">
        <f>IF(9&lt;='1_Hypotheses'!$E$44,-'1_Hypotheses'!$E$43/'1_Hypotheses'!$E$44,0)</f>
        <v/>
      </c>
      <c r="L43" s="22">
        <f>IF(10&lt;='1_Hypotheses'!$E$44,-'1_Hypotheses'!$E$43/'1_Hypotheses'!$E$44,0)</f>
        <v/>
      </c>
      <c r="M43" s="22">
        <f>IF(11&lt;='1_Hypotheses'!$E$44,-'1_Hypotheses'!$E$43/'1_Hypotheses'!$E$44,0)</f>
        <v/>
      </c>
      <c r="N43" s="22">
        <f>IF(12&lt;='1_Hypotheses'!$E$44,-'1_Hypotheses'!$E$43/'1_Hypotheses'!$E$44,0)</f>
        <v/>
      </c>
      <c r="O43" s="22">
        <f>IF(13&lt;='1_Hypotheses'!$E$44,-'1_Hypotheses'!$E$43/'1_Hypotheses'!$E$44,0)</f>
        <v/>
      </c>
      <c r="P43" s="22">
        <f>IF(14&lt;='1_Hypotheses'!$E$44,-'1_Hypotheses'!$E$43/'1_Hypotheses'!$E$44,0)</f>
        <v/>
      </c>
      <c r="Q43" s="22">
        <f>IF(15&lt;='1_Hypotheses'!$E$44,-'1_Hypotheses'!$E$43/'1_Hypotheses'!$E$44,0)</f>
        <v/>
      </c>
      <c r="R43" s="22">
        <f>IF(16&lt;='1_Hypotheses'!$E$44,-'1_Hypotheses'!$E$43/'1_Hypotheses'!$E$44,0)</f>
        <v/>
      </c>
      <c r="S43" s="22">
        <f>IF(17&lt;='1_Hypotheses'!$E$44,-'1_Hypotheses'!$E$43/'1_Hypotheses'!$E$44,0)</f>
        <v/>
      </c>
      <c r="T43" s="22">
        <f>IF(18&lt;='1_Hypotheses'!$E$44,-'1_Hypotheses'!$E$43/'1_Hypotheses'!$E$44,0)</f>
        <v/>
      </c>
      <c r="U43" s="22">
        <f>IF(19&lt;='1_Hypotheses'!$E$44,-'1_Hypotheses'!$E$43/'1_Hypotheses'!$E$44,0)</f>
        <v/>
      </c>
      <c r="V43" s="22">
        <f>IF(20&lt;='1_Hypotheses'!$E$44,-'1_Hypotheses'!$E$43/'1_Hypotheses'!$E$44,0)</f>
        <v/>
      </c>
      <c r="W43" s="22">
        <f>IF(21&lt;='1_Hypotheses'!$E$44,-'1_Hypotheses'!$E$43/'1_Hypotheses'!$E$44,0)</f>
        <v/>
      </c>
      <c r="X43" s="22">
        <f>IF(22&lt;='1_Hypotheses'!$E$44,-'1_Hypotheses'!$E$43/'1_Hypotheses'!$E$44,0)</f>
        <v/>
      </c>
      <c r="Y43" s="22">
        <f>IF(23&lt;='1_Hypotheses'!$E$44,-'1_Hypotheses'!$E$43/'1_Hypotheses'!$E$44,0)</f>
        <v/>
      </c>
      <c r="Z43" s="22">
        <f>IF(24&lt;='1_Hypotheses'!$E$44,-'1_Hypotheses'!$E$43/'1_Hypotheses'!$E$44,0)</f>
        <v/>
      </c>
    </row>
    <row r="44">
      <c r="A44" s="4" t="inlineStr">
        <is>
          <t>RESULTAT ECONOMIQUE</t>
        </is>
      </c>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45" t="inlineStr">
        <is>
          <t>Résultat avant impôt</t>
        </is>
      </c>
      <c r="B45" s="22">
        <f>SUM(C45:Z45)</f>
        <v/>
      </c>
      <c r="C45" s="22">
        <f>C26+C35+C41+C43</f>
        <v/>
      </c>
      <c r="D45" s="22">
        <f>D26+D35+D41+D43</f>
        <v/>
      </c>
      <c r="E45" s="22">
        <f>E26+E35+E41+E43</f>
        <v/>
      </c>
      <c r="F45" s="22">
        <f>F26+F35+F41+F43</f>
        <v/>
      </c>
      <c r="G45" s="22">
        <f>G26+G35+G41+G43</f>
        <v/>
      </c>
      <c r="H45" s="22">
        <f>H26+H35+H41+H43</f>
        <v/>
      </c>
      <c r="I45" s="22">
        <f>I26+I35+I41+I43</f>
        <v/>
      </c>
      <c r="J45" s="22">
        <f>J26+J35+J41+J43</f>
        <v/>
      </c>
      <c r="K45" s="22">
        <f>K26+K35+K41+K43</f>
        <v/>
      </c>
      <c r="L45" s="22">
        <f>L26+L35+L41+L43</f>
        <v/>
      </c>
      <c r="M45" s="22">
        <f>M26+M35+M41+M43</f>
        <v/>
      </c>
      <c r="N45" s="22">
        <f>N26+N35+N41+N43</f>
        <v/>
      </c>
      <c r="O45" s="22">
        <f>O26+O35+O41+O43</f>
        <v/>
      </c>
      <c r="P45" s="22">
        <f>P26+P35+P41+P43</f>
        <v/>
      </c>
      <c r="Q45" s="22">
        <f>Q26+Q35+Q41+Q43</f>
        <v/>
      </c>
      <c r="R45" s="22">
        <f>R26+R35+R41+R43</f>
        <v/>
      </c>
      <c r="S45" s="22">
        <f>S26+S35+S41+S43</f>
        <v/>
      </c>
      <c r="T45" s="22">
        <f>T26+T35+T41+T43</f>
        <v/>
      </c>
      <c r="U45" s="22">
        <f>U26+U35+U41+U43</f>
        <v/>
      </c>
      <c r="V45" s="22">
        <f>V26+V35+V41+V43</f>
        <v/>
      </c>
      <c r="W45" s="22">
        <f>W26+W35+W41+W43</f>
        <v/>
      </c>
      <c r="X45" s="22">
        <f>X26+X35+X41+X43</f>
        <v/>
      </c>
      <c r="Y45" s="22">
        <f>Y26+Y35+Y41+Y43</f>
        <v/>
      </c>
      <c r="Z45" s="22">
        <f>Z26+Z35+Z41+Z43</f>
        <v/>
      </c>
    </row>
    <row r="46">
      <c r="A46" s="41" t="inlineStr">
        <is>
          <t>Résultat avant impôt cumulé</t>
        </is>
      </c>
      <c r="B46" s="22">
        <f>Z46</f>
        <v/>
      </c>
      <c r="C46" s="35">
        <f>C45</f>
        <v/>
      </c>
      <c r="D46" s="35">
        <f>C46+D45</f>
        <v/>
      </c>
      <c r="E46" s="35">
        <f>D46+E45</f>
        <v/>
      </c>
      <c r="F46" s="35">
        <f>E46+F45</f>
        <v/>
      </c>
      <c r="G46" s="35">
        <f>F46+G45</f>
        <v/>
      </c>
      <c r="H46" s="35">
        <f>G46+H45</f>
        <v/>
      </c>
      <c r="I46" s="35">
        <f>H46+I45</f>
        <v/>
      </c>
      <c r="J46" s="35">
        <f>I46+J45</f>
        <v/>
      </c>
      <c r="K46" s="35">
        <f>J46+K45</f>
        <v/>
      </c>
      <c r="L46" s="35">
        <f>K46+L45</f>
        <v/>
      </c>
      <c r="M46" s="35">
        <f>L46+M45</f>
        <v/>
      </c>
      <c r="N46" s="35">
        <f>M46+N45</f>
        <v/>
      </c>
      <c r="O46" s="35">
        <f>N46+O45</f>
        <v/>
      </c>
      <c r="P46" s="35">
        <f>O46+P45</f>
        <v/>
      </c>
      <c r="Q46" s="35">
        <f>P46+Q45</f>
        <v/>
      </c>
      <c r="R46" s="35">
        <f>Q46+R45</f>
        <v/>
      </c>
      <c r="S46" s="35">
        <f>R46+S45</f>
        <v/>
      </c>
      <c r="T46" s="35">
        <f>S46+T45</f>
        <v/>
      </c>
      <c r="U46" s="35">
        <f>T46+U45</f>
        <v/>
      </c>
      <c r="V46" s="35">
        <f>U46+V45</f>
        <v/>
      </c>
      <c r="W46" s="35">
        <f>V46+W45</f>
        <v/>
      </c>
      <c r="X46" s="35">
        <f>W46+X45</f>
        <v/>
      </c>
      <c r="Y46" s="35">
        <f>X46+Y45</f>
        <v/>
      </c>
      <c r="Z46" s="35">
        <f>Y46+Z45</f>
        <v/>
      </c>
    </row>
    <row r="47">
      <c r="A47" s="41" t="inlineStr">
        <is>
          <t>Impôt sur les sociétés (report des déficits appliqué)</t>
        </is>
      </c>
      <c r="B47" s="22">
        <f>SUM(C47:Z47)</f>
        <v/>
      </c>
      <c r="C47" s="35">
        <f>-IF(AND(C45&gt;0,C46&gt;0),'1_Hypotheses'!$E$46*MIN(C45,C46),0)</f>
        <v/>
      </c>
      <c r="D47" s="35">
        <f>-IF(AND(D45&gt;0,D46&gt;0),'1_Hypotheses'!$E$46*MIN(D45,D46),0)</f>
        <v/>
      </c>
      <c r="E47" s="35">
        <f>-IF(AND(E45&gt;0,E46&gt;0),'1_Hypotheses'!$E$46*MIN(E45,E46),0)</f>
        <v/>
      </c>
      <c r="F47" s="35">
        <f>-IF(AND(F45&gt;0,F46&gt;0),'1_Hypotheses'!$E$46*MIN(F45,F46),0)</f>
        <v/>
      </c>
      <c r="G47" s="35">
        <f>-IF(AND(G45&gt;0,G46&gt;0),'1_Hypotheses'!$E$46*MIN(G45,G46),0)</f>
        <v/>
      </c>
      <c r="H47" s="35">
        <f>-IF(AND(H45&gt;0,H46&gt;0),'1_Hypotheses'!$E$46*MIN(H45,H46),0)</f>
        <v/>
      </c>
      <c r="I47" s="35">
        <f>-IF(AND(I45&gt;0,I46&gt;0),'1_Hypotheses'!$E$46*MIN(I45,I46),0)</f>
        <v/>
      </c>
      <c r="J47" s="35">
        <f>-IF(AND(J45&gt;0,J46&gt;0),'1_Hypotheses'!$E$46*MIN(J45,J46),0)</f>
        <v/>
      </c>
      <c r="K47" s="35">
        <f>-IF(AND(K45&gt;0,K46&gt;0),'1_Hypotheses'!$E$46*MIN(K45,K46),0)</f>
        <v/>
      </c>
      <c r="L47" s="35">
        <f>-IF(AND(L45&gt;0,L46&gt;0),'1_Hypotheses'!$E$46*MIN(L45,L46),0)</f>
        <v/>
      </c>
      <c r="M47" s="35">
        <f>-IF(AND(M45&gt;0,M46&gt;0),'1_Hypotheses'!$E$46*MIN(M45,M46),0)</f>
        <v/>
      </c>
      <c r="N47" s="35">
        <f>-IF(AND(N45&gt;0,N46&gt;0),'1_Hypotheses'!$E$46*MIN(N45,N46),0)</f>
        <v/>
      </c>
      <c r="O47" s="35">
        <f>-IF(AND(O45&gt;0,O46&gt;0),'1_Hypotheses'!$E$46*MIN(O45,O46),0)</f>
        <v/>
      </c>
      <c r="P47" s="35">
        <f>-IF(AND(P45&gt;0,P46&gt;0),'1_Hypotheses'!$E$46*MIN(P45,P46),0)</f>
        <v/>
      </c>
      <c r="Q47" s="35">
        <f>-IF(AND(Q45&gt;0,Q46&gt;0),'1_Hypotheses'!$E$46*MIN(Q45,Q46),0)</f>
        <v/>
      </c>
      <c r="R47" s="35">
        <f>-IF(AND(R45&gt;0,R46&gt;0),'1_Hypotheses'!$E$46*MIN(R45,R46),0)</f>
        <v/>
      </c>
      <c r="S47" s="35">
        <f>-IF(AND(S45&gt;0,S46&gt;0),'1_Hypotheses'!$E$46*MIN(S45,S46),0)</f>
        <v/>
      </c>
      <c r="T47" s="35">
        <f>-IF(AND(T45&gt;0,T46&gt;0),'1_Hypotheses'!$E$46*MIN(T45,T46),0)</f>
        <v/>
      </c>
      <c r="U47" s="35">
        <f>-IF(AND(U45&gt;0,U46&gt;0),'1_Hypotheses'!$E$46*MIN(U45,U46),0)</f>
        <v/>
      </c>
      <c r="V47" s="35">
        <f>-IF(AND(V45&gt;0,V46&gt;0),'1_Hypotheses'!$E$46*MIN(V45,V46),0)</f>
        <v/>
      </c>
      <c r="W47" s="35">
        <f>-IF(AND(W45&gt;0,W46&gt;0),'1_Hypotheses'!$E$46*MIN(W45,W46),0)</f>
        <v/>
      </c>
      <c r="X47" s="35">
        <f>-IF(AND(X45&gt;0,X46&gt;0),'1_Hypotheses'!$E$46*MIN(X45,X46),0)</f>
        <v/>
      </c>
      <c r="Y47" s="35">
        <f>-IF(AND(Y45&gt;0,Y46&gt;0),'1_Hypotheses'!$E$46*MIN(Y45,Y46),0)</f>
        <v/>
      </c>
      <c r="Z47" s="35">
        <f>-IF(AND(Z45&gt;0,Z46&gt;0),'1_Hypotheses'!$E$46*MIN(Z45,Z46),0)</f>
        <v/>
      </c>
    </row>
    <row r="48">
      <c r="A48" s="45" t="inlineStr">
        <is>
          <t>RESULTAT NET MENSUEL</t>
        </is>
      </c>
      <c r="B48" s="26">
        <f>SUM(C48:Z48)</f>
        <v/>
      </c>
      <c r="C48" s="26">
        <f>C45+C47</f>
        <v/>
      </c>
      <c r="D48" s="26">
        <f>D45+D47</f>
        <v/>
      </c>
      <c r="E48" s="26">
        <f>E45+E47</f>
        <v/>
      </c>
      <c r="F48" s="26">
        <f>F45+F47</f>
        <v/>
      </c>
      <c r="G48" s="26">
        <f>G45+G47</f>
        <v/>
      </c>
      <c r="H48" s="26">
        <f>H45+H47</f>
        <v/>
      </c>
      <c r="I48" s="26">
        <f>I45+I47</f>
        <v/>
      </c>
      <c r="J48" s="26">
        <f>J45+J47</f>
        <v/>
      </c>
      <c r="K48" s="26">
        <f>K45+K47</f>
        <v/>
      </c>
      <c r="L48" s="26">
        <f>L45+L47</f>
        <v/>
      </c>
      <c r="M48" s="26">
        <f>M45+M47</f>
        <v/>
      </c>
      <c r="N48" s="26">
        <f>N45+N47</f>
        <v/>
      </c>
      <c r="O48" s="26">
        <f>O45+O47</f>
        <v/>
      </c>
      <c r="P48" s="26">
        <f>P45+P47</f>
        <v/>
      </c>
      <c r="Q48" s="26">
        <f>Q45+Q47</f>
        <v/>
      </c>
      <c r="R48" s="26">
        <f>R45+R47</f>
        <v/>
      </c>
      <c r="S48" s="26">
        <f>S45+S47</f>
        <v/>
      </c>
      <c r="T48" s="26">
        <f>T45+T47</f>
        <v/>
      </c>
      <c r="U48" s="26">
        <f>U45+U47</f>
        <v/>
      </c>
      <c r="V48" s="26">
        <f>V45+V47</f>
        <v/>
      </c>
      <c r="W48" s="26">
        <f>W45+W47</f>
        <v/>
      </c>
      <c r="X48" s="26">
        <f>X45+X47</f>
        <v/>
      </c>
      <c r="Y48" s="26">
        <f>Y45+Y47</f>
        <v/>
      </c>
      <c r="Z48" s="26">
        <f>Z45+Z47</f>
        <v/>
      </c>
    </row>
    <row r="49">
      <c r="A49" s="45" t="inlineStr">
        <is>
          <t>EQUILIBRE ECONOMIQUE CUMULE</t>
        </is>
      </c>
      <c r="B49" s="26">
        <f>Z49</f>
        <v/>
      </c>
      <c r="C49" s="26">
        <f>C48</f>
        <v/>
      </c>
      <c r="D49" s="26">
        <f>C49+D48</f>
        <v/>
      </c>
      <c r="E49" s="26">
        <f>D49+E48</f>
        <v/>
      </c>
      <c r="F49" s="26">
        <f>E49+F48</f>
        <v/>
      </c>
      <c r="G49" s="26">
        <f>F49+G48</f>
        <v/>
      </c>
      <c r="H49" s="26">
        <f>G49+H48</f>
        <v/>
      </c>
      <c r="I49" s="26">
        <f>H49+I48</f>
        <v/>
      </c>
      <c r="J49" s="26">
        <f>I49+J48</f>
        <v/>
      </c>
      <c r="K49" s="26">
        <f>J49+K48</f>
        <v/>
      </c>
      <c r="L49" s="26">
        <f>K49+L48</f>
        <v/>
      </c>
      <c r="M49" s="26">
        <f>L49+M48</f>
        <v/>
      </c>
      <c r="N49" s="26">
        <f>M49+N48</f>
        <v/>
      </c>
      <c r="O49" s="26">
        <f>N49+O48</f>
        <v/>
      </c>
      <c r="P49" s="26">
        <f>O49+P48</f>
        <v/>
      </c>
      <c r="Q49" s="26">
        <f>P49+Q48</f>
        <v/>
      </c>
      <c r="R49" s="26">
        <f>Q49+R48</f>
        <v/>
      </c>
      <c r="S49" s="26">
        <f>R49+S48</f>
        <v/>
      </c>
      <c r="T49" s="26">
        <f>S49+T48</f>
        <v/>
      </c>
      <c r="U49" s="26">
        <f>T49+U48</f>
        <v/>
      </c>
      <c r="V49" s="26">
        <f>U49+V48</f>
        <v/>
      </c>
      <c r="W49" s="26">
        <f>V49+W48</f>
        <v/>
      </c>
      <c r="X49" s="26">
        <f>W49+X48</f>
        <v/>
      </c>
      <c r="Y49" s="26">
        <f>X49+Y48</f>
        <v/>
      </c>
      <c r="Z49" s="26">
        <f>Y49+Z48</f>
        <v/>
      </c>
    </row>
    <row r="50">
      <c r="A50" s="41" t="inlineStr">
        <is>
          <t>Besoin de financement (point bas du cumul)</t>
        </is>
      </c>
      <c r="B50" s="47">
        <f>Z50</f>
        <v/>
      </c>
      <c r="C50" s="48">
        <f>MIN(0,MIN($C49:C49))</f>
        <v/>
      </c>
      <c r="D50" s="48">
        <f>MIN(0,MIN($C49:D49))</f>
        <v/>
      </c>
      <c r="E50" s="48">
        <f>MIN(0,MIN($C49:E49))</f>
        <v/>
      </c>
      <c r="F50" s="48">
        <f>MIN(0,MIN($C49:F49))</f>
        <v/>
      </c>
      <c r="G50" s="48">
        <f>MIN(0,MIN($C49:G49))</f>
        <v/>
      </c>
      <c r="H50" s="48">
        <f>MIN(0,MIN($C49:H49))</f>
        <v/>
      </c>
      <c r="I50" s="48">
        <f>MIN(0,MIN($C49:I49))</f>
        <v/>
      </c>
      <c r="J50" s="48">
        <f>MIN(0,MIN($C49:J49))</f>
        <v/>
      </c>
      <c r="K50" s="48">
        <f>MIN(0,MIN($C49:K49))</f>
        <v/>
      </c>
      <c r="L50" s="48">
        <f>MIN(0,MIN($C49:L49))</f>
        <v/>
      </c>
      <c r="M50" s="48">
        <f>MIN(0,MIN($C49:M49))</f>
        <v/>
      </c>
      <c r="N50" s="48">
        <f>MIN(0,MIN($C49:N49))</f>
        <v/>
      </c>
      <c r="O50" s="48">
        <f>MIN(0,MIN($C49:O49))</f>
        <v/>
      </c>
      <c r="P50" s="48">
        <f>MIN(0,MIN($C49:P49))</f>
        <v/>
      </c>
      <c r="Q50" s="48">
        <f>MIN(0,MIN($C49:Q49))</f>
        <v/>
      </c>
      <c r="R50" s="48">
        <f>MIN(0,MIN($C49:R49))</f>
        <v/>
      </c>
      <c r="S50" s="48">
        <f>MIN(0,MIN($C49:S49))</f>
        <v/>
      </c>
      <c r="T50" s="48">
        <f>MIN(0,MIN($C49:T49))</f>
        <v/>
      </c>
      <c r="U50" s="48">
        <f>MIN(0,MIN($C49:U49))</f>
        <v/>
      </c>
      <c r="V50" s="48">
        <f>MIN(0,MIN($C49:V49))</f>
        <v/>
      </c>
      <c r="W50" s="48">
        <f>MIN(0,MIN($C49:W49))</f>
        <v/>
      </c>
      <c r="X50" s="48">
        <f>MIN(0,MIN($C49:X49))</f>
        <v/>
      </c>
      <c r="Y50" s="48">
        <f>MIN(0,MIN($C49:Y49))</f>
        <v/>
      </c>
      <c r="Z50" s="48">
        <f>MIN(0,MIN($C49:Z49))</f>
        <v/>
      </c>
    </row>
    <row r="52">
      <c r="A52" s="3" t="inlineStr">
        <is>
          <t>Mémo TGC (neutre au résultat)</t>
        </is>
      </c>
      <c r="C52" s="49">
        <f>C20*'1_Hypotheses'!$E$47</f>
        <v/>
      </c>
      <c r="D52" s="49">
        <f>D20*'1_Hypotheses'!$E$47</f>
        <v/>
      </c>
      <c r="E52" s="49">
        <f>E20*'1_Hypotheses'!$E$47</f>
        <v/>
      </c>
      <c r="F52" s="49">
        <f>F20*'1_Hypotheses'!$E$47</f>
        <v/>
      </c>
      <c r="G52" s="49">
        <f>G20*'1_Hypotheses'!$E$47</f>
        <v/>
      </c>
      <c r="H52" s="49">
        <f>H20*'1_Hypotheses'!$E$47</f>
        <v/>
      </c>
      <c r="I52" s="49">
        <f>I20*'1_Hypotheses'!$E$47</f>
        <v/>
      </c>
      <c r="J52" s="49">
        <f>J20*'1_Hypotheses'!$E$47</f>
        <v/>
      </c>
      <c r="K52" s="49">
        <f>K20*'1_Hypotheses'!$E$47</f>
        <v/>
      </c>
      <c r="L52" s="49">
        <f>L20*'1_Hypotheses'!$E$47</f>
        <v/>
      </c>
      <c r="M52" s="49">
        <f>M20*'1_Hypotheses'!$E$47</f>
        <v/>
      </c>
      <c r="N52" s="49">
        <f>N20*'1_Hypotheses'!$E$47</f>
        <v/>
      </c>
      <c r="O52" s="49">
        <f>O20*'1_Hypotheses'!$E$47</f>
        <v/>
      </c>
      <c r="P52" s="49">
        <f>P20*'1_Hypotheses'!$E$47</f>
        <v/>
      </c>
      <c r="Q52" s="49">
        <f>Q20*'1_Hypotheses'!$E$47</f>
        <v/>
      </c>
      <c r="R52" s="49">
        <f>R20*'1_Hypotheses'!$E$47</f>
        <v/>
      </c>
      <c r="S52" s="49">
        <f>S20*'1_Hypotheses'!$E$47</f>
        <v/>
      </c>
      <c r="T52" s="49">
        <f>T20*'1_Hypotheses'!$E$47</f>
        <v/>
      </c>
      <c r="U52" s="49">
        <f>U20*'1_Hypotheses'!$E$47</f>
        <v/>
      </c>
      <c r="V52" s="49">
        <f>V20*'1_Hypotheses'!$E$47</f>
        <v/>
      </c>
      <c r="W52" s="49">
        <f>W20*'1_Hypotheses'!$E$47</f>
        <v/>
      </c>
      <c r="X52" s="49">
        <f>X20*'1_Hypotheses'!$E$47</f>
        <v/>
      </c>
      <c r="Y52" s="49">
        <f>Y20*'1_Hypotheses'!$E$47</f>
        <v/>
      </c>
      <c r="Z52" s="49">
        <f>Z20*'1_Hypotheses'!$E$47</f>
        <v/>
      </c>
    </row>
    <row r="54">
      <c r="A54" s="3" t="inlineStr">
        <is>
          <t>Marge contributive = chiffre d'affaires − coûts variables − reversements  (formule du dossier, section 6).</t>
        </is>
      </c>
    </row>
    <row r="55">
      <c r="A55" s="3" t="inlineStr">
        <is>
          <t>Equilibre économique = marge contributive + coûts évités − coûts fixes − investissements − fiscalité  (idem).</t>
        </is>
      </c>
    </row>
    <row r="56">
      <c r="A56" s="3" t="inlineStr">
        <is>
          <t>Les charges sont saisies en négatif : toutes les lignes s'additionnent, ce qui rend chaque total auditable.</t>
        </is>
      </c>
    </row>
    <row r="57">
      <c r="A57" s="3" t="inlineStr">
        <is>
          <t>La TGC est collectée puis reversée : elle n'affecte pas le résultat et figure pour mémoire.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0"/>
  <sheetViews>
    <sheetView showGridLines="0" workbookViewId="0">
      <selection activeCell="A1" sqref="A1"/>
    </sheetView>
  </sheetViews>
  <sheetFormatPr baseColWidth="8" defaultRowHeight="15"/>
  <cols>
    <col width="54" customWidth="1" min="1" max="1"/>
    <col width="17" customWidth="1" min="2" max="2"/>
    <col width="17" customWidth="1" min="3" max="3"/>
    <col width="17" customWidth="1" min="4" max="4"/>
    <col width="17" customWidth="1" min="5" max="5"/>
    <col width="66" customWidth="1" min="6" max="6"/>
  </cols>
  <sheetData>
    <row r="1">
      <c r="A1" s="1" t="inlineStr">
        <is>
          <t>SYNTHESE DES TROIS SCENARIOS</t>
        </is>
      </c>
    </row>
    <row r="2">
      <c r="A2" s="3" t="inlineStr">
        <is>
          <t>Montants en XPF HT, cumuls sur 24 mois sauf mention contraire.</t>
        </is>
      </c>
    </row>
    <row r="4">
      <c r="A4" s="40" t="inlineStr">
        <is>
          <t>Indicateur</t>
        </is>
      </c>
      <c r="B4" s="40" t="inlineStr">
        <is>
          <t>Prudent</t>
        </is>
      </c>
      <c r="C4" s="40" t="inlineStr">
        <is>
          <t>Central</t>
        </is>
      </c>
      <c r="D4" s="40" t="inlineStr">
        <is>
          <t>Ambitieux</t>
        </is>
      </c>
      <c r="E4" s="40" t="inlineStr"/>
      <c r="F4" s="40" t="inlineStr">
        <is>
          <t>Commentaire</t>
        </is>
      </c>
    </row>
    <row r="5">
      <c r="A5" s="4" t="inlineStr">
        <is>
          <t>ACTIVITE AU MOIS 24</t>
        </is>
      </c>
      <c r="B5" s="5" t="n"/>
      <c r="C5" s="5" t="n"/>
      <c r="D5" s="5" t="n"/>
      <c r="E5" s="5" t="n"/>
      <c r="F5" s="5" t="n"/>
    </row>
    <row r="6" ht="26" customHeight="1">
      <c r="A6" s="29" t="inlineStr">
        <is>
          <t>Utilisateurs actifs mensuels</t>
        </is>
      </c>
      <c r="B6" s="43">
        <f>'4_PL_Prudent'!Z7</f>
        <v/>
      </c>
      <c r="C6" s="43">
        <f>'5_PL_Central'!Z7</f>
        <v/>
      </c>
      <c r="D6" s="43">
        <f>'6_PL_Ambitieux'!Z7</f>
        <v/>
      </c>
      <c r="F6" s="12" t="inlineStr">
        <is>
          <t>Audience du service refondu au terme de l'horizon.</t>
        </is>
      </c>
    </row>
    <row r="7" ht="26" customHeight="1">
      <c r="A7" s="29" t="inlineStr">
        <is>
          <t>SMS gratuits envoyés sur 24 mois</t>
        </is>
      </c>
      <c r="B7" s="43">
        <f>'4_PL_Prudent'!B8</f>
        <v/>
      </c>
      <c r="C7" s="43">
        <f>'5_PL_Central'!B8</f>
        <v/>
      </c>
      <c r="D7" s="43">
        <f>'6_PL_Ambitieux'!B8</f>
        <v/>
      </c>
      <c r="F7" s="12" t="inlineStr">
        <is>
          <t>Volume cumulé du socle gratuit. Jamais facturé, jamais plafonné par une offre payante.</t>
        </is>
      </c>
    </row>
    <row r="8" ht="26" customHeight="1">
      <c r="A8" s="29" t="inlineStr">
        <is>
          <t>Clients Helia PRO apportés (stock M24)</t>
        </is>
      </c>
      <c r="B8" s="32">
        <f>'4_PL_Prudent'!Z13</f>
        <v/>
      </c>
      <c r="C8" s="32">
        <f>'5_PL_Central'!Z13</f>
        <v/>
      </c>
      <c r="D8" s="32">
        <f>'6_PL_Ambitieux'!Z13</f>
        <v/>
      </c>
      <c r="F8" s="12" t="inlineStr">
        <is>
          <t>Comptes professionnels orientés vers Helia PRO et encore actifs.</t>
        </is>
      </c>
    </row>
    <row r="9" ht="26" customHeight="1">
      <c r="A9" s="29" t="inlineStr">
        <is>
          <t>Lignes grand public activées (stock M24)</t>
        </is>
      </c>
      <c r="B9" s="32">
        <f>'4_PL_Prudent'!Z15</f>
        <v/>
      </c>
      <c r="C9" s="32">
        <f>'5_PL_Central'!Z15</f>
        <v/>
      </c>
      <c r="D9" s="32">
        <f>'6_PL_Ambitieux'!Z15</f>
        <v/>
      </c>
      <c r="F9" s="12" t="inlineStr">
        <is>
          <t>Lignes réactivées ou souscrites depuis l'audience sans ligne active.</t>
        </is>
      </c>
    </row>
    <row r="10">
      <c r="A10" s="4" t="inlineStr">
        <is>
          <t>COMPTE DE RESULTAT CUMULE 24 MOIS</t>
        </is>
      </c>
      <c r="B10" s="5" t="n"/>
      <c r="C10" s="5" t="n"/>
      <c r="D10" s="5" t="n"/>
      <c r="E10" s="5" t="n"/>
      <c r="F10" s="5" t="n"/>
    </row>
    <row r="11" ht="26" customHeight="1">
      <c r="A11" s="29" t="inlineStr">
        <is>
          <t>Chiffre d'affaires</t>
        </is>
      </c>
      <c r="B11" s="35">
        <f>'4_PL_Prudent'!B20</f>
        <v/>
      </c>
      <c r="C11" s="35">
        <f>'5_PL_Central'!B20</f>
        <v/>
      </c>
      <c r="D11" s="35">
        <f>'6_PL_Ambitieux'!B20</f>
        <v/>
      </c>
      <c r="F11" s="12" t="inlineStr">
        <is>
          <t>Apports d'affaires B2B et B2C, sponsoring. Aucune vente de SMS au particulier.</t>
        </is>
      </c>
    </row>
    <row r="12" ht="26" customHeight="1">
      <c r="A12" s="29" t="inlineStr">
        <is>
          <t>Coûts variables et reversements</t>
        </is>
      </c>
      <c r="B12" s="35">
        <f>'4_PL_Prudent'!B25</f>
        <v/>
      </c>
      <c r="C12" s="35">
        <f>'5_PL_Central'!B25</f>
        <v/>
      </c>
      <c r="D12" s="35">
        <f>'6_PL_Ambitieux'!B25</f>
        <v/>
      </c>
      <c r="F12" s="12" t="inlineStr">
        <is>
          <t>Acheminement des SMS gratuits, infrastructure variable, reversement régie.</t>
        </is>
      </c>
    </row>
    <row r="13" ht="26" customHeight="1">
      <c r="A13" s="50" t="inlineStr">
        <is>
          <t>MARGE CONTRIBUTIVE</t>
        </is>
      </c>
      <c r="B13" s="26">
        <f>'4_PL_Prudent'!B26</f>
        <v/>
      </c>
      <c r="C13" s="26">
        <f>'5_PL_Central'!B26</f>
        <v/>
      </c>
      <c r="D13" s="26">
        <f>'6_PL_Ambitieux'!B26</f>
        <v/>
      </c>
      <c r="F13" s="12">
        <f> CA − coûts variables − reversements.</f>
        <v/>
      </c>
    </row>
    <row r="14" ht="26" customHeight="1">
      <c r="A14" s="50" t="inlineStr">
        <is>
          <t>Coûts évités</t>
        </is>
      </c>
      <c r="B14" s="26">
        <f>'4_PL_Prudent'!B35</f>
        <v/>
      </c>
      <c r="C14" s="26">
        <f>'5_PL_Central'!B35</f>
        <v/>
      </c>
      <c r="D14" s="26">
        <f>'6_PL_Ambitieux'!B35</f>
        <v/>
      </c>
      <c r="F14" s="12" t="inlineStr">
        <is>
          <t>Arrêt du socle historique. Pilier du modèle.</t>
        </is>
      </c>
    </row>
    <row r="15" ht="26" customHeight="1">
      <c r="A15" s="29" t="inlineStr">
        <is>
          <t>Coûts fixes</t>
        </is>
      </c>
      <c r="B15" s="35">
        <f>'4_PL_Prudent'!B41</f>
        <v/>
      </c>
      <c r="C15" s="35">
        <f>'5_PL_Central'!B41</f>
        <v/>
      </c>
      <c r="D15" s="35">
        <f>'6_PL_Ambitieux'!B41</f>
        <v/>
      </c>
      <c r="F15" s="12" t="inlineStr">
        <is>
          <t>Run, cloud, support, communication du service refondu.</t>
        </is>
      </c>
    </row>
    <row r="16" ht="26" customHeight="1">
      <c r="A16" s="29" t="inlineStr">
        <is>
          <t>Investissements</t>
        </is>
      </c>
      <c r="B16" s="35">
        <f>'4_PL_Prudent'!B43</f>
        <v/>
      </c>
      <c r="C16" s="35">
        <f>'5_PL_Central'!B43</f>
        <v/>
      </c>
      <c r="D16" s="35">
        <f>'6_PL_Ambitieux'!B43</f>
        <v/>
      </c>
      <c r="F16" s="12" t="inlineStr">
        <is>
          <t>Build, industrialisation et reprise, étalés.</t>
        </is>
      </c>
    </row>
    <row r="17" ht="26" customHeight="1">
      <c r="A17" s="29" t="inlineStr">
        <is>
          <t>Fiscalité (IS)</t>
        </is>
      </c>
      <c r="B17" s="35">
        <f>'4_PL_Prudent'!B47</f>
        <v/>
      </c>
      <c r="C17" s="35">
        <f>'5_PL_Central'!B47</f>
        <v/>
      </c>
      <c r="D17" s="35">
        <f>'6_PL_Ambitieux'!B47</f>
        <v/>
      </c>
      <c r="F17" s="12" t="inlineStr">
        <is>
          <t>IS Nouvelle-Calédonie 30 %, report des déficits appliqué.</t>
        </is>
      </c>
    </row>
    <row r="18" ht="26" customHeight="1">
      <c r="A18" s="50" t="inlineStr">
        <is>
          <t>EQUILIBRE ECONOMIQUE 24 MOIS</t>
        </is>
      </c>
      <c r="B18" s="26">
        <f>'4_PL_Prudent'!Z49</f>
        <v/>
      </c>
      <c r="C18" s="26">
        <f>'5_PL_Central'!Z49</f>
        <v/>
      </c>
      <c r="D18" s="26">
        <f>'6_PL_Ambitieux'!Z49</f>
        <v/>
      </c>
      <c r="F18" s="12">
        <f> marge contributive + coûts évités − coûts fixes − investissements − fiscalité.</f>
        <v/>
      </c>
    </row>
    <row r="19">
      <c r="A19" s="4" t="inlineStr">
        <is>
          <t>INDICATEURS DE PILOTAGE</t>
        </is>
      </c>
      <c r="B19" s="5" t="n"/>
      <c r="C19" s="5" t="n"/>
      <c r="D19" s="5" t="n"/>
      <c r="E19" s="5" t="n"/>
      <c r="F19" s="5" t="n"/>
    </row>
    <row r="20" ht="26" customHeight="1">
      <c r="A20" s="50" t="inlineStr">
        <is>
          <t>Point mort (1er mois à cumul positif)</t>
        </is>
      </c>
      <c r="B20" s="51">
        <f>IFERROR(MATCH(TRUE,INDEX('4_PL_Prudent'!C49:Z49&gt;0,0),0),"&gt; 24 mois")</f>
        <v/>
      </c>
      <c r="C20" s="51">
        <f>IFERROR(MATCH(TRUE,INDEX('5_PL_Central'!C49:Z49&gt;0,0),0),"&gt; 24 mois")</f>
        <v/>
      </c>
      <c r="D20" s="51">
        <f>IFERROR(MATCH(TRUE,INDEX('6_PL_Ambitieux'!C49:Z49&gt;0,0),0),"&gt; 24 mois")</f>
        <v/>
      </c>
      <c r="F20" s="12" t="inlineStr">
        <is>
          <t>Mois à partir duquel l'équilibre cumulé devient positif. « &gt; 24 mois » signale une trajectoire d'équilibre non encore atteinte sur l'horizon.</t>
        </is>
      </c>
    </row>
    <row r="21" ht="26" customHeight="1">
      <c r="A21" s="50" t="inlineStr">
        <is>
          <t>Besoin de financement maximal</t>
        </is>
      </c>
      <c r="B21" s="47">
        <f>'4_PL_Prudent'!Z50</f>
        <v/>
      </c>
      <c r="C21" s="47">
        <f>'5_PL_Central'!Z50</f>
        <v/>
      </c>
      <c r="D21" s="47">
        <f>'6_PL_Ambitieux'!Z50</f>
        <v/>
      </c>
      <c r="F21" s="12" t="inlineStr">
        <is>
          <t>Point bas du cumul. Correspond au financement à mobiliser avant l'autofinancement.</t>
        </is>
      </c>
    </row>
    <row r="22" ht="26" customHeight="1">
      <c r="A22" s="29" t="inlineStr">
        <is>
          <t>Résultat net du mois 24 (régime)</t>
        </is>
      </c>
      <c r="B22" s="35">
        <f>'4_PL_Prudent'!Z48</f>
        <v/>
      </c>
      <c r="C22" s="35">
        <f>'5_PL_Central'!Z48</f>
        <v/>
      </c>
      <c r="D22" s="35">
        <f>'6_PL_Ambitieux'!Z48</f>
        <v/>
      </c>
      <c r="F22" s="12" t="inlineStr">
        <is>
          <t>Résultat mensuel une fois l'investissement achevé et les économies réalisées.</t>
        </is>
      </c>
    </row>
    <row r="23" ht="26" customHeight="1">
      <c r="A23" s="50" t="inlineStr">
        <is>
          <t>Résultat annualisé en régime établi</t>
        </is>
      </c>
      <c r="B23" s="34">
        <f>'4_PL_Prudent'!Z48*12</f>
        <v/>
      </c>
      <c r="C23" s="34">
        <f>'5_PL_Central'!Z48*12</f>
        <v/>
      </c>
      <c r="D23" s="34">
        <f>'6_PL_Ambitieux'!Z48*12</f>
        <v/>
      </c>
      <c r="F23" s="12" t="inlineStr">
        <is>
          <t>Extrapolation du mois 24 sur douze mois. Sert de base à la discussion pilote / industrialisation.</t>
        </is>
      </c>
    </row>
    <row r="25" ht="42" customHeight="1">
      <c r="A25" s="33" t="inlineStr">
        <is>
          <t>LECTURE : le modèle est conçu pour que la soutenabilité repose d'abord sur un levier certain (les coûts évités) et non sur une hypothèse de marché. Même en scénario prudent, sans aucun sponsoring et avec les taux de conversion les plus bas, le service réduit le coût complet supporté par l'OPT-NC.</t>
        </is>
      </c>
    </row>
    <row r="27">
      <c r="A27" s="50" t="inlineStr">
        <is>
          <t>Données graphiques - équilibre cumulé (XPF)</t>
        </is>
      </c>
    </row>
    <row r="28">
      <c r="A28" s="27" t="inlineStr">
        <is>
          <t>Mois</t>
        </is>
      </c>
      <c r="B28" s="27" t="inlineStr">
        <is>
          <t>Prudent</t>
        </is>
      </c>
      <c r="C28" s="27" t="inlineStr">
        <is>
          <t>Central</t>
        </is>
      </c>
      <c r="D28" s="27" t="inlineStr">
        <is>
          <t>Ambitieux</t>
        </is>
      </c>
    </row>
    <row r="29">
      <c r="A29" s="3" t="inlineStr">
        <is>
          <t>M1</t>
        </is>
      </c>
      <c r="B29" s="49">
        <f>'4_PL_Prudent'!C49</f>
        <v/>
      </c>
      <c r="C29" s="49">
        <f>'5_PL_Central'!C49</f>
        <v/>
      </c>
      <c r="D29" s="49">
        <f>'6_PL_Ambitieux'!C49</f>
        <v/>
      </c>
    </row>
    <row r="30">
      <c r="A30" s="3" t="inlineStr">
        <is>
          <t>M2</t>
        </is>
      </c>
      <c r="B30" s="49">
        <f>'4_PL_Prudent'!D49</f>
        <v/>
      </c>
      <c r="C30" s="49">
        <f>'5_PL_Central'!D49</f>
        <v/>
      </c>
      <c r="D30" s="49">
        <f>'6_PL_Ambitieux'!D49</f>
        <v/>
      </c>
    </row>
    <row r="31">
      <c r="A31" s="3" t="inlineStr">
        <is>
          <t>M3</t>
        </is>
      </c>
      <c r="B31" s="49">
        <f>'4_PL_Prudent'!E49</f>
        <v/>
      </c>
      <c r="C31" s="49">
        <f>'5_PL_Central'!E49</f>
        <v/>
      </c>
      <c r="D31" s="49">
        <f>'6_PL_Ambitieux'!E49</f>
        <v/>
      </c>
    </row>
    <row r="32">
      <c r="A32" s="3" t="inlineStr">
        <is>
          <t>M4</t>
        </is>
      </c>
      <c r="B32" s="49">
        <f>'4_PL_Prudent'!F49</f>
        <v/>
      </c>
      <c r="C32" s="49">
        <f>'5_PL_Central'!F49</f>
        <v/>
      </c>
      <c r="D32" s="49">
        <f>'6_PL_Ambitieux'!F49</f>
        <v/>
      </c>
    </row>
    <row r="33">
      <c r="A33" s="3" t="inlineStr">
        <is>
          <t>M5</t>
        </is>
      </c>
      <c r="B33" s="49">
        <f>'4_PL_Prudent'!G49</f>
        <v/>
      </c>
      <c r="C33" s="49">
        <f>'5_PL_Central'!G49</f>
        <v/>
      </c>
      <c r="D33" s="49">
        <f>'6_PL_Ambitieux'!G49</f>
        <v/>
      </c>
    </row>
    <row r="34">
      <c r="A34" s="3" t="inlineStr">
        <is>
          <t>M6</t>
        </is>
      </c>
      <c r="B34" s="49">
        <f>'4_PL_Prudent'!H49</f>
        <v/>
      </c>
      <c r="C34" s="49">
        <f>'5_PL_Central'!H49</f>
        <v/>
      </c>
      <c r="D34" s="49">
        <f>'6_PL_Ambitieux'!H49</f>
        <v/>
      </c>
    </row>
    <row r="35">
      <c r="A35" s="3" t="inlineStr">
        <is>
          <t>M7</t>
        </is>
      </c>
      <c r="B35" s="49">
        <f>'4_PL_Prudent'!I49</f>
        <v/>
      </c>
      <c r="C35" s="49">
        <f>'5_PL_Central'!I49</f>
        <v/>
      </c>
      <c r="D35" s="49">
        <f>'6_PL_Ambitieux'!I49</f>
        <v/>
      </c>
    </row>
    <row r="36">
      <c r="A36" s="3" t="inlineStr">
        <is>
          <t>M8</t>
        </is>
      </c>
      <c r="B36" s="49">
        <f>'4_PL_Prudent'!J49</f>
        <v/>
      </c>
      <c r="C36" s="49">
        <f>'5_PL_Central'!J49</f>
        <v/>
      </c>
      <c r="D36" s="49">
        <f>'6_PL_Ambitieux'!J49</f>
        <v/>
      </c>
    </row>
    <row r="37">
      <c r="A37" s="3" t="inlineStr">
        <is>
          <t>M9</t>
        </is>
      </c>
      <c r="B37" s="49">
        <f>'4_PL_Prudent'!K49</f>
        <v/>
      </c>
      <c r="C37" s="49">
        <f>'5_PL_Central'!K49</f>
        <v/>
      </c>
      <c r="D37" s="49">
        <f>'6_PL_Ambitieux'!K49</f>
        <v/>
      </c>
    </row>
    <row r="38">
      <c r="A38" s="3" t="inlineStr">
        <is>
          <t>M10</t>
        </is>
      </c>
      <c r="B38" s="49">
        <f>'4_PL_Prudent'!L49</f>
        <v/>
      </c>
      <c r="C38" s="49">
        <f>'5_PL_Central'!L49</f>
        <v/>
      </c>
      <c r="D38" s="49">
        <f>'6_PL_Ambitieux'!L49</f>
        <v/>
      </c>
    </row>
    <row r="39">
      <c r="A39" s="3" t="inlineStr">
        <is>
          <t>M11</t>
        </is>
      </c>
      <c r="B39" s="49">
        <f>'4_PL_Prudent'!M49</f>
        <v/>
      </c>
      <c r="C39" s="49">
        <f>'5_PL_Central'!M49</f>
        <v/>
      </c>
      <c r="D39" s="49">
        <f>'6_PL_Ambitieux'!M49</f>
        <v/>
      </c>
    </row>
    <row r="40">
      <c r="A40" s="3" t="inlineStr">
        <is>
          <t>M12</t>
        </is>
      </c>
      <c r="B40" s="49">
        <f>'4_PL_Prudent'!N49</f>
        <v/>
      </c>
      <c r="C40" s="49">
        <f>'5_PL_Central'!N49</f>
        <v/>
      </c>
      <c r="D40" s="49">
        <f>'6_PL_Ambitieux'!N49</f>
        <v/>
      </c>
    </row>
    <row r="41">
      <c r="A41" s="3" t="inlineStr">
        <is>
          <t>M13</t>
        </is>
      </c>
      <c r="B41" s="49">
        <f>'4_PL_Prudent'!O49</f>
        <v/>
      </c>
      <c r="C41" s="49">
        <f>'5_PL_Central'!O49</f>
        <v/>
      </c>
      <c r="D41" s="49">
        <f>'6_PL_Ambitieux'!O49</f>
        <v/>
      </c>
    </row>
    <row r="42">
      <c r="A42" s="3" t="inlineStr">
        <is>
          <t>M14</t>
        </is>
      </c>
      <c r="B42" s="49">
        <f>'4_PL_Prudent'!P49</f>
        <v/>
      </c>
      <c r="C42" s="49">
        <f>'5_PL_Central'!P49</f>
        <v/>
      </c>
      <c r="D42" s="49">
        <f>'6_PL_Ambitieux'!P49</f>
        <v/>
      </c>
    </row>
    <row r="43">
      <c r="A43" s="3" t="inlineStr">
        <is>
          <t>M15</t>
        </is>
      </c>
      <c r="B43" s="49">
        <f>'4_PL_Prudent'!Q49</f>
        <v/>
      </c>
      <c r="C43" s="49">
        <f>'5_PL_Central'!Q49</f>
        <v/>
      </c>
      <c r="D43" s="49">
        <f>'6_PL_Ambitieux'!Q49</f>
        <v/>
      </c>
    </row>
    <row r="44">
      <c r="A44" s="3" t="inlineStr">
        <is>
          <t>M16</t>
        </is>
      </c>
      <c r="B44" s="49">
        <f>'4_PL_Prudent'!R49</f>
        <v/>
      </c>
      <c r="C44" s="49">
        <f>'5_PL_Central'!R49</f>
        <v/>
      </c>
      <c r="D44" s="49">
        <f>'6_PL_Ambitieux'!R49</f>
        <v/>
      </c>
    </row>
    <row r="45">
      <c r="A45" s="3" t="inlineStr">
        <is>
          <t>M17</t>
        </is>
      </c>
      <c r="B45" s="49">
        <f>'4_PL_Prudent'!S49</f>
        <v/>
      </c>
      <c r="C45" s="49">
        <f>'5_PL_Central'!S49</f>
        <v/>
      </c>
      <c r="D45" s="49">
        <f>'6_PL_Ambitieux'!S49</f>
        <v/>
      </c>
    </row>
    <row r="46">
      <c r="A46" s="3" t="inlineStr">
        <is>
          <t>M18</t>
        </is>
      </c>
      <c r="B46" s="49">
        <f>'4_PL_Prudent'!T49</f>
        <v/>
      </c>
      <c r="C46" s="49">
        <f>'5_PL_Central'!T49</f>
        <v/>
      </c>
      <c r="D46" s="49">
        <f>'6_PL_Ambitieux'!T49</f>
        <v/>
      </c>
    </row>
    <row r="47">
      <c r="A47" s="3" t="inlineStr">
        <is>
          <t>M19</t>
        </is>
      </c>
      <c r="B47" s="49">
        <f>'4_PL_Prudent'!U49</f>
        <v/>
      </c>
      <c r="C47" s="49">
        <f>'5_PL_Central'!U49</f>
        <v/>
      </c>
      <c r="D47" s="49">
        <f>'6_PL_Ambitieux'!U49</f>
        <v/>
      </c>
    </row>
    <row r="48">
      <c r="A48" s="3" t="inlineStr">
        <is>
          <t>M20</t>
        </is>
      </c>
      <c r="B48" s="49">
        <f>'4_PL_Prudent'!V49</f>
        <v/>
      </c>
      <c r="C48" s="49">
        <f>'5_PL_Central'!V49</f>
        <v/>
      </c>
      <c r="D48" s="49">
        <f>'6_PL_Ambitieux'!V49</f>
        <v/>
      </c>
    </row>
    <row r="49">
      <c r="A49" s="3" t="inlineStr">
        <is>
          <t>M21</t>
        </is>
      </c>
      <c r="B49" s="49">
        <f>'4_PL_Prudent'!W49</f>
        <v/>
      </c>
      <c r="C49" s="49">
        <f>'5_PL_Central'!W49</f>
        <v/>
      </c>
      <c r="D49" s="49">
        <f>'6_PL_Ambitieux'!W49</f>
        <v/>
      </c>
    </row>
    <row r="50">
      <c r="A50" s="3" t="inlineStr">
        <is>
          <t>M22</t>
        </is>
      </c>
      <c r="B50" s="49">
        <f>'4_PL_Prudent'!X49</f>
        <v/>
      </c>
      <c r="C50" s="49">
        <f>'5_PL_Central'!X49</f>
        <v/>
      </c>
      <c r="D50" s="49">
        <f>'6_PL_Ambitieux'!X49</f>
        <v/>
      </c>
    </row>
    <row r="51">
      <c r="A51" s="3" t="inlineStr">
        <is>
          <t>M23</t>
        </is>
      </c>
      <c r="B51" s="49">
        <f>'4_PL_Prudent'!Y49</f>
        <v/>
      </c>
      <c r="C51" s="49">
        <f>'5_PL_Central'!Y49</f>
        <v/>
      </c>
      <c r="D51" s="49">
        <f>'6_PL_Ambitieux'!Y49</f>
        <v/>
      </c>
    </row>
    <row r="52">
      <c r="A52" s="3" t="inlineStr">
        <is>
          <t>M24</t>
        </is>
      </c>
      <c r="B52" s="49">
        <f>'4_PL_Prudent'!Z49</f>
        <v/>
      </c>
      <c r="C52" s="49">
        <f>'5_PL_Central'!Z49</f>
        <v/>
      </c>
      <c r="D52" s="49">
        <f>'6_PL_Ambitieux'!Z49</f>
        <v/>
      </c>
    </row>
    <row r="54">
      <c r="A54" s="50" t="inlineStr">
        <is>
          <t>Données graphiques - structure de l'équilibre (cumul 24M, scénario central)</t>
        </is>
      </c>
    </row>
    <row r="55">
      <c r="A55" s="27" t="inlineStr">
        <is>
          <t>Poste</t>
        </is>
      </c>
      <c r="B55" s="27" t="inlineStr">
        <is>
          <t>Central</t>
        </is>
      </c>
    </row>
    <row r="56">
      <c r="A56" s="3" t="inlineStr">
        <is>
          <t>Marge contributive</t>
        </is>
      </c>
      <c r="B56" s="49">
        <f>'5_PL_Central'!B26</f>
        <v/>
      </c>
    </row>
    <row r="57">
      <c r="A57" s="3" t="inlineStr">
        <is>
          <t>Coûts évités</t>
        </is>
      </c>
      <c r="B57" s="49">
        <f>'5_PL_Central'!B35</f>
        <v/>
      </c>
    </row>
    <row r="58">
      <c r="A58" s="3" t="inlineStr">
        <is>
          <t>Coûts fixes</t>
        </is>
      </c>
      <c r="B58" s="49">
        <f>'5_PL_Central'!B41</f>
        <v/>
      </c>
    </row>
    <row r="59">
      <c r="A59" s="3" t="inlineStr">
        <is>
          <t>Investissements</t>
        </is>
      </c>
      <c r="B59" s="49">
        <f>'5_PL_Central'!B43</f>
        <v/>
      </c>
    </row>
    <row r="60">
      <c r="A60" s="3" t="inlineStr">
        <is>
          <t>Fiscalité</t>
        </is>
      </c>
      <c r="B60" s="49">
        <f>'5_PL_Central'!B47</f>
        <v/>
      </c>
    </row>
  </sheetData>
  <mergeCells count="1">
    <mergeCell ref="A25:F25"/>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52" customWidth="1" min="1" max="1"/>
    <col width="18" customWidth="1" min="2" max="2"/>
    <col width="18" customWidth="1" min="3" max="3"/>
    <col width="18" customWidth="1" min="4" max="4"/>
    <col width="18" customWidth="1" min="5" max="5"/>
    <col width="18" customWidth="1" min="6" max="6"/>
    <col width="60" customWidth="1" min="7" max="7"/>
  </cols>
  <sheetData>
    <row r="1">
      <c r="A1" s="1" t="inlineStr">
        <is>
          <t>ANALYSE DE SENSIBILITE - SCENARIO CENTRAL</t>
        </is>
      </c>
    </row>
    <row r="2">
      <c r="A2" s="3" t="inlineStr">
        <is>
          <t>Impact sur l'équilibre économique cumulé à 24 mois d'une variation isolée de chaque variable. Les valeurs sont recalculées analytiquement à partir des lignes du P&amp;L central.</t>
        </is>
      </c>
    </row>
    <row r="3">
      <c r="A3" s="3" t="inlineStr">
        <is>
          <t>Mode d'emploi : pour un test grandeur nature, modifier la valeur dans l'onglet 1 et lire l'onglet 7. Ce tableau donne l'ordre de grandeur et le classement des risques.</t>
        </is>
      </c>
    </row>
    <row r="5" ht="28" customHeight="1">
      <c r="A5" s="31" t="inlineStr">
        <is>
          <t>Variable testée</t>
        </is>
      </c>
      <c r="B5" s="31" t="inlineStr">
        <is>
          <t>Valeur centrale</t>
        </is>
      </c>
      <c r="C5" s="31" t="inlineStr">
        <is>
          <t>Variation testée</t>
        </is>
      </c>
      <c r="D5" s="31" t="inlineStr">
        <is>
          <t>Impact sur l'équilibre 24M</t>
        </is>
      </c>
      <c r="E5" s="31" t="inlineStr">
        <is>
          <t>Criticité</t>
        </is>
      </c>
      <c r="F5" s="31" t="inlineStr">
        <is>
          <t>Maîtrise du risque</t>
        </is>
      </c>
    </row>
    <row r="6" ht="34" customHeight="1">
      <c r="A6" s="9" t="inlineStr">
        <is>
          <t>Taux d'évitement global des coûts (onglet 2)</t>
        </is>
      </c>
      <c r="B6" s="38">
        <f>'2_Couts_evites'!$D$13/'2_Couts_evites'!$B$12</f>
        <v/>
      </c>
      <c r="C6" s="52" t="inlineStr">
        <is>
          <t>− 10 points</t>
        </is>
      </c>
      <c r="D6" s="34">
        <f>'5_PL_Central'!B35*(-0.10/('2_Couts_evites'!$D$13/'2_Couts_evites'!$B$12))</f>
        <v/>
      </c>
      <c r="E6" s="53" t="inlineStr">
        <is>
          <t>CRITIQUE</t>
        </is>
      </c>
      <c r="F6" s="12" t="inlineStr">
        <is>
          <t>Variable la plus structurante. Maîtrisée par un audit contradictoire du coût complet avec l'OPT-NC dès le sprint POC, et par un taux déjà prudent poste par poste.</t>
        </is>
      </c>
    </row>
    <row r="7" ht="34" customHeight="1">
      <c r="A7" s="9" t="inlineStr">
        <is>
          <t>Part des MAU sans ligne active</t>
        </is>
      </c>
      <c r="B7" s="38">
        <f>'1_Hypotheses'!$D$20</f>
        <v/>
      </c>
      <c r="C7" s="52" t="inlineStr">
        <is>
          <t>− 1/3</t>
        </is>
      </c>
      <c r="D7" s="34">
        <f>-'5_PL_Central'!B18/3</f>
        <v/>
      </c>
      <c r="E7" s="54" t="inlineStr">
        <is>
          <t>ELEVEE</t>
        </is>
      </c>
      <c r="F7" s="12" t="inlineStr">
        <is>
          <t>Hypothèse prioritaire à valider auprès de l'OPT-NC. Question posée avant la clôture. Un tiers d'erreur reste absorbable par le pilier coûts évités.</t>
        </is>
      </c>
    </row>
    <row r="8" ht="34" customHeight="1">
      <c r="A8" s="9" t="inlineStr">
        <is>
          <t>Nombre d'utilisateurs actifs mensuels au mois 1</t>
        </is>
      </c>
      <c r="B8" s="43">
        <f>'1_Hypotheses'!$D$7</f>
        <v/>
      </c>
      <c r="C8" s="52" t="inlineStr">
        <is>
          <t>− 30 %</t>
        </is>
      </c>
      <c r="D8" s="34">
        <f>('5_PL_Central'!B17+'5_PL_Central'!B18)*-0.30-'5_PL_Central'!B25*-0.30</f>
        <v/>
      </c>
      <c r="E8" s="54" t="inlineStr">
        <is>
          <t>ELEVEE</t>
        </is>
      </c>
      <c r="F8" s="12" t="inlineStr">
        <is>
          <t>Volumétrie non publiée. Impact atténué : une baisse des MAU réduit aussi les coûts variables.</t>
        </is>
      </c>
    </row>
    <row r="9" ht="34" customHeight="1">
      <c r="A9" s="9" t="inlineStr">
        <is>
          <t>Taux de conversion en client Helia PRO</t>
        </is>
      </c>
      <c r="B9" s="38">
        <f>'1_Hypotheses'!$D$14</f>
        <v/>
      </c>
      <c r="C9" s="52" t="inlineStr">
        <is>
          <t>− 50 %</t>
        </is>
      </c>
      <c r="D9" s="34">
        <f>-'5_PL_Central'!B17/2</f>
        <v/>
      </c>
      <c r="E9" s="55" t="inlineStr">
        <is>
          <t>MOYENNE</t>
        </is>
      </c>
      <c r="F9" s="12" t="inlineStr">
        <is>
          <t>Ligne volontairement minoritaire dans l'équilibre. Le modèle tient sans elle.</t>
        </is>
      </c>
    </row>
    <row r="10" ht="34" customHeight="1">
      <c r="A10" s="9" t="inlineStr">
        <is>
          <t>Marge annuelle d'une ligne grand public</t>
        </is>
      </c>
      <c r="B10" s="35">
        <f>'1_Hypotheses'!$D$23</f>
        <v/>
      </c>
      <c r="C10" s="52" t="inlineStr">
        <is>
          <t>− 25 %</t>
        </is>
      </c>
      <c r="D10" s="34">
        <f>-'5_PL_Central'!B18/4</f>
        <v/>
      </c>
      <c r="E10" s="55" t="inlineStr">
        <is>
          <t>MOYENNE</t>
        </is>
      </c>
      <c r="F10" s="12" t="inlineStr">
        <is>
          <t>A confronter aux données internes OPT-NC. Attribution déjà minoritaire (35 %).</t>
        </is>
      </c>
    </row>
    <row r="11" ht="34" customHeight="1">
      <c r="A11" s="9" t="inlineStr">
        <is>
          <t>Revenu de sponsoring</t>
        </is>
      </c>
      <c r="B11" s="35">
        <f>'1_Hypotheses'!$D$28</f>
        <v/>
      </c>
      <c r="C11" s="52" t="inlineStr">
        <is>
          <t>− 100 %</t>
        </is>
      </c>
      <c r="D11" s="34">
        <f>-'5_PL_Central'!B19*(1-'1_Hypotheses'!$D$31)</f>
        <v/>
      </c>
      <c r="E11" s="56" t="inlineStr">
        <is>
          <t>FAIBLE</t>
        </is>
      </c>
      <c r="F11" s="12" t="inlineStr">
        <is>
          <t>Ligne nulle par construction en scénario prudent : sa disparition complète ne remet pas l'équilibre en cause.</t>
        </is>
      </c>
    </row>
    <row r="12" ht="34" customHeight="1">
      <c r="A12" s="9" t="inlineStr">
        <is>
          <t>Investissement de build et d'industrialisation</t>
        </is>
      </c>
      <c r="B12" s="35">
        <f>'1_Hypotheses'!$D$43</f>
        <v/>
      </c>
      <c r="C12" s="52" t="inlineStr">
        <is>
          <t>+ 30 %</t>
        </is>
      </c>
      <c r="D12" s="34">
        <f>'5_PL_Central'!B43*0.30</f>
        <v/>
      </c>
      <c r="E12" s="55" t="inlineStr">
        <is>
          <t>MOYENNE</t>
        </is>
      </c>
      <c r="F12" s="12" t="inlineStr">
        <is>
          <t>Dépassement classique sur un projet de refonte. Maîtrisé par un périmètre POC resserré et une industrialisation par lots.</t>
        </is>
      </c>
    </row>
    <row r="13" ht="34" customHeight="1">
      <c r="A13" s="9" t="inlineStr">
        <is>
          <t>Décalage du mois de bascule</t>
        </is>
      </c>
      <c r="B13" s="57">
        <f>'1_Hypotheses'!$D$48</f>
        <v/>
      </c>
      <c r="C13" s="52" t="inlineStr">
        <is>
          <t>+ 3 mois</t>
        </is>
      </c>
      <c r="D13" s="34">
        <f>-'2_Couts_evites'!$D$14*3</f>
        <v/>
      </c>
      <c r="E13" s="54" t="inlineStr">
        <is>
          <t>ELEVEE</t>
        </is>
      </c>
      <c r="F13" s="12" t="inlineStr">
        <is>
          <t>Chaque mois de retard coûte un mois d'économies. Maîtrisé par une bascule progressive et une reprise sans interruption de service.</t>
        </is>
      </c>
    </row>
    <row r="15">
      <c r="A15" s="4" t="inlineStr">
        <is>
          <t>TEST DE ROBUSTESSE COMBINE</t>
        </is>
      </c>
      <c r="B15" s="5" t="n"/>
      <c r="C15" s="5" t="n"/>
      <c r="D15" s="5" t="n"/>
      <c r="E15" s="5" t="n"/>
      <c r="F15" s="5" t="n"/>
    </row>
    <row r="16" ht="30" customHeight="1">
      <c r="A16" s="9" t="inlineStr">
        <is>
          <t>Scénario de stress : toutes les lignes de revenus à zéro (aucun apport, aucun sponsoring), seul le levier coûts évités subsiste, au taux du scénario prudent.</t>
        </is>
      </c>
    </row>
    <row r="17">
      <c r="A17" s="50" t="inlineStr">
        <is>
          <t>Equilibre 24 mois en stress total</t>
        </is>
      </c>
      <c r="B17" s="47">
        <f>'4_PL_Prudent'!B35+'4_PL_Prudent'!B41+'4_PL_Prudent'!B43+'4_PL_Prudent'!B22+'4_PL_Prudent'!B23</f>
        <v/>
      </c>
      <c r="F17" s="12" t="inlineStr">
        <is>
          <t>Mesure le plancher du modèle : ce que vaut la proposition si aucune hypothèse commerciale ne se réalise.</t>
        </is>
      </c>
    </row>
  </sheetData>
  <mergeCells count="1">
    <mergeCell ref="A16:F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26" customWidth="1" min="1" max="1"/>
    <col width="30" customWidth="1" min="2" max="2"/>
    <col width="30" customWidth="1" min="3" max="3"/>
    <col width="30" customWidth="1" min="4" max="4"/>
    <col width="46" customWidth="1" min="5" max="5"/>
  </cols>
  <sheetData>
    <row r="1">
      <c r="A1" s="1" t="inlineStr">
        <is>
          <t>REPARTITION DE LA VALEUR - OPT-NC / CANDIDAT / PARTENAIRES</t>
        </is>
      </c>
    </row>
    <row r="2">
      <c r="A2" s="3" t="inlineStr">
        <is>
          <t>Présenté sans préjuger des conditions d'une future contractualisation, conformément à la section 6 du dossier candidats.</t>
        </is>
      </c>
    </row>
    <row r="4">
      <c r="A4" s="40" t="inlineStr">
        <is>
          <t>Phase</t>
        </is>
      </c>
      <c r="B4" s="40" t="inlineStr">
        <is>
          <t>OPT-NC</t>
        </is>
      </c>
      <c r="C4" s="40" t="inlineStr">
        <is>
          <t>Candidat</t>
        </is>
      </c>
      <c r="D4" s="40" t="inlineStr">
        <is>
          <t>Partenaires</t>
        </is>
      </c>
      <c r="E4" s="40" t="inlineStr">
        <is>
          <t>Principe retenu</t>
        </is>
      </c>
    </row>
    <row r="5" ht="72" customHeight="1">
      <c r="A5" s="58" t="inlineStr">
        <is>
          <t>Sprint POC
(oct. - nov. 2026)</t>
        </is>
      </c>
      <c r="B5" s="59" t="inlineStr">
        <is>
          <t>Met à disposition un environnement de test encadré et deux points de mentorat. Aucune dépense d'industrialisation.</t>
        </is>
      </c>
      <c r="C5" s="59" t="inlineStr">
        <is>
          <t>Finance intégralement la réalisation du POC. Conserve la propriété de ses développements.</t>
        </is>
      </c>
      <c r="D5" s="59" t="inlineStr">
        <is>
          <t>Sans objet.</t>
        </is>
      </c>
      <c r="E5" s="59" t="inlineStr">
        <is>
          <t>La dotation du challenge rémunère l'effort de POC. Aucun transfert de propriété intellectuelle.</t>
        </is>
      </c>
    </row>
    <row r="6" ht="72" customHeight="1">
      <c r="A6" s="58" t="inlineStr">
        <is>
          <t>Pilote 90 jours
(2027, sous réserve)</t>
        </is>
      </c>
      <c r="B6" s="59" t="inlineStr">
        <is>
          <t>Finance le pilote au forfait. Bénéficie dès la bascule des coûts évités et de la totalité de la marge des clients apportés.</t>
        </is>
      </c>
      <c r="C6" s="59" t="inlineStr">
        <is>
          <t>Forfait de mise en œuvre et de run. Engagement de résultat sur la disponibilité et la sécurité.</t>
        </is>
      </c>
      <c r="D6" s="59" t="inlineStr">
        <is>
          <t>Régie sponsoring rémunérée à la commission (15 % du CA sponsoring).</t>
        </is>
      </c>
      <c r="E6" s="59" t="inlineStr">
        <is>
          <t>Modèle au forfait : l'OPT-NC conserve la maîtrise du service public et la totalité du bénéfice des économies.</t>
        </is>
      </c>
    </row>
    <row r="7" ht="72" customHeight="1">
      <c r="A7" s="58" t="inlineStr">
        <is>
          <t>Industrialisation
(contrat distinct)</t>
        </is>
      </c>
      <c r="B7" s="59" t="inlineStr">
        <is>
          <t>Propriétaire du service et de la relation utilisateur. Perçoit les coûts évités et la marge des clients Helia PRO et grand public apportés.</t>
        </is>
      </c>
      <c r="C7" s="59" t="inlineStr">
        <is>
          <t>Redevance de run annuelle, plus un intéressement plafonné sur la valeur d'apport effectivement attribuée et constatée.</t>
        </is>
      </c>
      <c r="D7" s="59" t="inlineStr">
        <is>
          <t>Commission de régie sur le sponsoring uniquement.</t>
        </is>
      </c>
      <c r="E7" s="59" t="inlineStr">
        <is>
          <t>L'intéressement aligne les intérêts sans transférer de risque à l'OPT-NC : il n'est dû que sur une valeur réellement constatée.</t>
        </is>
      </c>
    </row>
    <row r="9">
      <c r="A9" s="4" t="inlineStr">
        <is>
          <t>PRINCIPES DE GOUVERNANCE DE LA VALEUR</t>
        </is>
      </c>
      <c r="B9" s="5" t="n"/>
      <c r="C9" s="5" t="n"/>
      <c r="D9" s="5" t="n"/>
      <c r="E9" s="5" t="n"/>
    </row>
    <row r="10" ht="30" customHeight="1">
      <c r="A10" s="9" t="inlineStr">
        <is>
          <t>•  L'OPT-NC conserve la totalité du bénéfice des coûts évités : le candidat n'en prélève aucune part. C'est le levier principal du modèle, et il revient intégralement à l'établissement.</t>
        </is>
      </c>
    </row>
    <row r="11" ht="30" customHeight="1">
      <c r="A11" s="9" t="inlineStr">
        <is>
          <t>•  L'intéressement du candidat porte exclusivement sur la valeur d'apport constatée, mesurée par un dispositif d'attribution contradictoire et plafonnée. Aucun intéressement sur le socle gratuit.</t>
        </is>
      </c>
    </row>
    <row r="12" ht="30" customHeight="1">
      <c r="A12" s="9" t="inlineStr">
        <is>
          <t>•  Aucune rémunération ne dépend du volume de SMS envoyés : le modèle n'incite à aucun moment à augmenter artificiellement le trafic.</t>
        </is>
      </c>
    </row>
    <row r="13" ht="30" customHeight="1">
      <c r="A13" s="9" t="inlineStr">
        <is>
          <t>•  Le sponsoring est le seul poste faisant intervenir un tiers rémunéré. Il est plafonné, identifié et révocable à tout moment par l'OPT-NC.</t>
        </is>
      </c>
    </row>
    <row r="14" ht="30" customHeight="1">
      <c r="A14" s="9" t="inlineStr">
        <is>
          <t>•  Aucune donnée personnelle n'entre dans le partage de valeur : ni revente, ni profilage, ni monetisation d'audience au sens publicitaire classique.</t>
        </is>
      </c>
    </row>
  </sheetData>
  <mergeCells count="5">
    <mergeCell ref="A12:E12"/>
    <mergeCell ref="A10:E10"/>
    <mergeCell ref="A11:E11"/>
    <mergeCell ref="A13:E13"/>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2026-09-17T04:41:23Z</dcterms:created>
  <dcterms:modified xmlns:dcterms="http://purl.org/dc/terms/" xmlns:xsi="http://www.w3.org/2001/XMLSchema-instance" xsi:type="dcterms:W3CDTF">2026-09-17T04:41:23Z</dcterms:modified>
</cp:coreProperties>
</file>